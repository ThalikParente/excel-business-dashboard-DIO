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hálik\Downloads\"/>
    </mc:Choice>
  </mc:AlternateContent>
  <xr:revisionPtr revIDLastSave="0" documentId="13_ncr:1_{CFC4C0A2-7316-444F-8BA0-CA481D5C4C9E}" xr6:coauthVersionLast="47" xr6:coauthVersionMax="47" xr10:uidLastSave="{00000000-0000-0000-0000-000000000000}"/>
  <bookViews>
    <workbookView xWindow="-120" yWindow="-120" windowWidth="29040" windowHeight="15720" tabRatio="306" firstSheet="1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8"/>
  <pivotCaches>
    <pivotCache cacheId="3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" i="2"/>
</calcChain>
</file>

<file path=xl/sharedStrings.xml><?xml version="1.0" encoding="utf-8"?>
<sst xmlns="http://schemas.openxmlformats.org/spreadsheetml/2006/main" count="2039" uniqueCount="327">
  <si>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</si>
  <si>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</si>
  <si>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</si>
  <si>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</si>
  <si>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</si>
  <si>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</si>
  <si>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</si>
  <si>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</si>
  <si>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</si>
  <si>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</si>
  <si>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</si>
  <si>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</si>
  <si>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</si>
  <si>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</si>
  <si>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</si>
  <si>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</si>
  <si>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</si>
  <si>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</si>
  <si>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</si>
  <si>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</si>
  <si>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</si>
  <si>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</si>
  <si>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</si>
  <si>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</si>
  <si>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</si>
  <si>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</si>
  <si>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</si>
  <si>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</si>
  <si>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</si>
  <si>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</si>
  <si>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</si>
  <si>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</si>
  <si>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</si>
  <si>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</si>
  <si>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</si>
  <si>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</si>
  <si>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</si>
  <si>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</si>
  <si>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</si>
  <si>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</si>
  <si>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</si>
  <si>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</si>
  <si>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</si>
  <si>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</si>
  <si>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</si>
  <si>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</si>
  <si>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</si>
  <si>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</si>
  <si>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</si>
  <si>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</si>
  <si>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</si>
  <si>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</si>
  <si>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</si>
  <si>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</si>
  <si>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</si>
  <si>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</si>
  <si>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</si>
  <si>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</si>
  <si>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</si>
  <si>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</si>
  <si>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</si>
  <si>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</si>
  <si>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</si>
  <si>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</si>
  <si>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</si>
  <si>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</si>
  <si>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</si>
  <si>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</si>
  <si>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</si>
  <si>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</si>
  <si>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</si>
  <si>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</si>
  <si>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</si>
  <si>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</si>
  <si>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</si>
  <si>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</si>
  <si>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</si>
  <si>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</si>
  <si>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</si>
  <si>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</si>
  <si>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</si>
  <si>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</si>
  <si>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</si>
  <si>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</si>
  <si>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</si>
  <si>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</si>
  <si>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</si>
  <si>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</si>
  <si>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</si>
  <si>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</si>
  <si>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</si>
  <si>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</si>
  <si>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</si>
  <si>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</si>
  <si>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</si>
  <si>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</si>
  <si>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</si>
  <si>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</si>
  <si>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</si>
  <si>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</si>
  <si>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</si>
  <si>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</si>
  <si>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</si>
  <si>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</si>
  <si>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</si>
  <si>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</si>
  <si>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</si>
  <si>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</si>
  <si>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</si>
  <si>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</si>
  <si>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</si>
  <si>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</si>
  <si>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</si>
  <si>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</si>
  <si>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</si>
  <si>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</si>
  <si>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</si>
  <si>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</si>
  <si>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</si>
  <si>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</si>
  <si>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</si>
  <si>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</si>
  <si>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</si>
  <si>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</si>
  <si>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</si>
  <si>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</si>
  <si>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</si>
  <si>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</si>
  <si>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</si>
  <si>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</si>
  <si>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</si>
  <si>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</si>
  <si>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</si>
  <si>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</si>
  <si>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</si>
  <si>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</si>
  <si>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</si>
  <si>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</si>
  <si>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</si>
  <si>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</si>
  <si>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</si>
  <si>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</si>
  <si>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</si>
  <si>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</si>
  <si>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</si>
  <si>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</si>
  <si>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</si>
  <si>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</si>
  <si>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</si>
  <si>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</si>
  <si>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</si>
  <si>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</si>
  <si>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</si>
  <si>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</si>
  <si>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</si>
  <si>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</si>
  <si>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</si>
  <si>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</si>
  <si>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</si>
  <si>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</si>
  <si>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</si>
  <si>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</si>
  <si>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</si>
  <si>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</si>
  <si>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</si>
  <si>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</si>
  <si>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</si>
  <si>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</si>
  <si>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</si>
  <si>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</si>
  <si>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</si>
  <si>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</si>
  <si>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</si>
  <si>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</si>
  <si>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</si>
  <si>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</si>
  <si>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</si>
  <si>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</si>
  <si>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</si>
  <si>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</si>
  <si>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</si>
  <si>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</si>
  <si>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</si>
  <si>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</si>
  <si>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</si>
  <si>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</si>
  <si>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</si>
  <si>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</si>
  <si>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</si>
  <si>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</si>
  <si>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</si>
  <si>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</si>
  <si>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</si>
  <si>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</si>
  <si>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</si>
  <si>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</si>
  <si>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</si>
  <si>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</si>
  <si>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</si>
  <si>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</si>
  <si>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</si>
  <si>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</si>
  <si>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</si>
  <si>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</si>
  <si>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</si>
  <si>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</si>
  <si>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</si>
  <si>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</si>
  <si>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</si>
  <si>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</si>
  <si>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</si>
  <si>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</si>
  <si>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</si>
  <si>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</si>
  <si>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</si>
  <si>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</si>
  <si>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</si>
  <si>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</si>
  <si>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</si>
  <si>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</si>
  <si>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</si>
  <si>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</si>
  <si>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</si>
  <si>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</si>
  <si>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</si>
  <si>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</si>
  <si>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</si>
  <si>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</si>
  <si>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</si>
  <si>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</si>
  <si>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</si>
  <si>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</si>
  <si>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</si>
  <si>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</si>
  <si>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</si>
  <si>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</si>
  <si>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</si>
  <si>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</si>
  <si>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</si>
  <si>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</si>
  <si>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</si>
  <si>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</si>
  <si>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</si>
  <si>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</si>
  <si>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</si>
  <si>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</si>
  <si>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</si>
  <si>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</si>
  <si>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</si>
  <si>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</si>
  <si>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</si>
  <si>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</si>
  <si>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</si>
  <si>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</si>
  <si>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</si>
  <si>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</si>
  <si>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</si>
  <si>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</si>
  <si>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</si>
  <si>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</si>
  <si>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</si>
  <si>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</si>
  <si>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</si>
  <si>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</si>
  <si>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</si>
  <si>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</si>
  <si>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</si>
  <si>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</si>
  <si>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</si>
  <si>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</si>
  <si>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</si>
  <si>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</si>
  <si>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</si>
  <si>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</si>
  <si>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</si>
  <si>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</si>
  <si>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</si>
  <si>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</si>
  <si>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</si>
  <si>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</si>
  <si>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</si>
  <si>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</si>
  <si>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</si>
  <si>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</si>
  <si>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</si>
  <si>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</si>
  <si>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</si>
  <si>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</si>
  <si>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</si>
  <si>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</si>
  <si>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</si>
  <si>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</si>
  <si>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</si>
  <si>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</si>
  <si>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</si>
  <si>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</si>
  <si>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</si>
  <si>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</si>
  <si>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</si>
  <si>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</si>
  <si>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</si>
  <si>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</si>
  <si>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</si>
  <si>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</si>
  <si>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</si>
  <si>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</si>
  <si>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</si>
  <si>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</si>
  <si>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</si>
  <si>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</si>
  <si>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</si>
  <si>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</si>
  <si>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</si>
  <si>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</si>
  <si>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</si>
  <si>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Total Value</t>
  </si>
  <si>
    <t xml:space="preserve"> XBOX GAME PASS SUBSCRIPTIONS SALES</t>
  </si>
  <si>
    <t>Calculation period: 01/01/2024 - 31/12/2024 | Update date: 20/01/2026</t>
  </si>
  <si>
    <r>
      <rPr>
        <b/>
        <sz val="11"/>
        <color theme="1"/>
        <rFont val="Aptos Narrow"/>
        <family val="2"/>
        <scheme val="minor"/>
      </rPr>
      <t xml:space="preserve">Pergunta de negócio 2 - </t>
    </r>
    <r>
      <rPr>
        <sz val="11"/>
        <color theme="1"/>
        <rFont val="Aptos Narrow"/>
        <family val="2"/>
        <scheme val="minor"/>
      </rPr>
      <t>Qual plano possui o maior ticket médio por cliente?</t>
    </r>
  </si>
  <si>
    <r>
      <t xml:space="preserve">Pergunta de negócio 3 - </t>
    </r>
    <r>
      <rPr>
        <sz val="11"/>
        <color theme="1"/>
        <rFont val="Aptos Narrow"/>
        <family val="2"/>
        <scheme val="minor"/>
      </rPr>
      <t>Clientes com auto renovação gastam mais?</t>
    </r>
  </si>
  <si>
    <r>
      <t xml:space="preserve">Pergunta de negócio 5 - </t>
    </r>
    <r>
      <rPr>
        <sz val="11"/>
        <color theme="1"/>
        <rFont val="Aptos Narrow"/>
        <family val="2"/>
        <scheme val="minor"/>
      </rPr>
      <t>Cupons aumentam conversão ou apenas reduzem receita?</t>
    </r>
  </si>
  <si>
    <t>(Tudo)</t>
  </si>
  <si>
    <t>Média de Total Value</t>
  </si>
  <si>
    <t xml:space="preserve"> &gt; Bem vindo Thálik</t>
  </si>
  <si>
    <r>
      <t xml:space="preserve">Pergunta de negócio 4 - </t>
    </r>
    <r>
      <rPr>
        <sz val="11"/>
        <color theme="1"/>
        <rFont val="Aptos Narrow"/>
        <family val="2"/>
        <scheme val="minor"/>
      </rPr>
      <t>Qual é o impacto dos Season Pass no valor total gasto?</t>
    </r>
  </si>
  <si>
    <t>Coupon Used</t>
  </si>
  <si>
    <t>Has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</si>
</sst>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5"/>
      <color rgb="FF2AE6B1"/>
      <name val="Segoe UI"/>
      <family val="2"/>
    </font>
    <font>
      <sz val="11"/>
      <color rgb="FFE8E6E9"/>
      <name val="Aptos Narrow"/>
      <family val="2"/>
      <scheme val="minor"/>
    </font>
    <font>
      <sz val="10.5"/>
      <color theme="2" tint="-0.49998474074526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  <border>
      <left/>
      <right/>
      <top/>
      <bottom style="thin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5" fillId="0" borderId="2" xfId="1" applyFont="1" applyBorder="1"/>
    <xf numFmtId="0" fontId="6" fillId="7" borderId="0" xfId="0" applyFont="1" applyFill="1"/>
    <xf numFmtId="0" fontId="6" fillId="8" borderId="0" xfId="0" applyFont="1" applyFill="1"/>
    <xf numFmtId="0" fontId="3" fillId="0" borderId="0" xfId="0" applyFont="1"/>
    <xf numFmtId="44" fontId="0" fillId="0" borderId="0" xfId="2" applyFont="1"/>
    <xf numFmtId="0" fontId="0" fillId="0" borderId="3" xfId="0" applyBorder="1"/>
    <xf numFmtId="0" fontId="5" fillId="0" borderId="2" xfId="1" applyFont="1" applyBorder="1" applyAlignment="1">
      <alignment horizontal="left" indent="4"/>
    </xf>
    <xf numFmtId="0" fontId="7" fillId="7" borderId="0" xfId="0" applyFont="1" applyFill="1"/>
    <xf numFmtId="0" fontId="4" fillId="3" borderId="0" xfId="0" applyFont="1" applyFill="1" applyAlignment="1">
      <alignment horizontal="left" indent="1"/>
    </xf>
    <xf numFmtId="0" fontId="0" fillId="0" borderId="2" xfId="0" applyBorder="1"/>
  </cellXfs>
  <cellStyles count="3">
    <cellStyle name="Moeda" xfId="2" builtinId="4"/>
    <cellStyle name="Normal" xfId="0" builtinId="0"/>
    <cellStyle name="Título 1" xfId="1" builtinId="16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0"/>
      </font>
      <fill>
        <patternFill patternType="solid">
          <bgColor rgb="FF9BC848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A47D11D4-1A3D-495B-8A04-2F538147B98E}">
      <tableStyleElement type="wholeTable" dxfId="3"/>
      <tableStyleElement type="headerRow" dxfId="2"/>
    </tableStyle>
  </tableStyles>
  <colors>
    <mruColors>
      <color rgb="FF2AE6B1"/>
      <color rgb="FF22C55E"/>
      <color rgb="FF9BC848"/>
      <color rgb="FF5BF6A8"/>
      <color rgb="FFE8E6E9"/>
      <color rgb="FF5BFA68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de Projeto.xlsx]C̳álculos!tbl_annual_total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AE6B1"/>
          </a:solidFill>
          <a:ln>
            <a:noFill/>
          </a:ln>
          <a:effectLst/>
        </c:spPr>
      </c:pivotFmt>
      <c:pivotFmt>
        <c:idx val="4"/>
        <c:spPr>
          <a:solidFill>
            <a:srgbClr val="2AE6B1"/>
          </a:solidFill>
          <a:ln>
            <a:noFill/>
          </a:ln>
          <a:effectLst/>
        </c:spPr>
      </c:pivotFmt>
      <c:pivotFmt>
        <c:idx val="5"/>
        <c:spPr>
          <a:solidFill>
            <a:srgbClr val="2AE6B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C̳álculos!$B$6:$B$9</c:f>
              <c:strCache>
                <c:ptCount val="3"/>
                <c:pt idx="0">
                  <c:v>Ultimate</c:v>
                </c:pt>
                <c:pt idx="1">
                  <c:v>Standard</c:v>
                </c:pt>
                <c:pt idx="2">
                  <c:v>Core</c:v>
                </c:pt>
              </c:strCache>
            </c:strRef>
          </c:cat>
          <c:val>
            <c:numRef>
              <c:f>C̳álculos!$C$6:$C$9</c:f>
              <c:numCache>
                <c:formatCode>_("R$"* #,##0.00_);_("R$"* \(#,##0.00\);_("R$"* "-"??_);_(@_)</c:formatCode>
                <c:ptCount val="3"/>
                <c:pt idx="0">
                  <c:v>1186</c:v>
                </c:pt>
                <c:pt idx="1">
                  <c:v>448</c:v>
                </c:pt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F-4DD5-8E44-63BBEF0B3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4097056"/>
        <c:axId val="1744097536"/>
      </c:barChart>
      <c:catAx>
        <c:axId val="174409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4097536"/>
        <c:crosses val="autoZero"/>
        <c:auto val="1"/>
        <c:lblAlgn val="ctr"/>
        <c:lblOffset val="100"/>
        <c:noMultiLvlLbl val="0"/>
      </c:catAx>
      <c:valAx>
        <c:axId val="1744097536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4409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de Projeto.xlsx]C̳álculos!Tabela dinâmica5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C̳álculos!$B$17:$B$20</c:f>
              <c:strCache>
                <c:ptCount val="3"/>
                <c:pt idx="0">
                  <c:v>Ultimate</c:v>
                </c:pt>
                <c:pt idx="1">
                  <c:v>Standard</c:v>
                </c:pt>
                <c:pt idx="2">
                  <c:v>Core</c:v>
                </c:pt>
              </c:strCache>
            </c:strRef>
          </c:cat>
          <c:val>
            <c:numRef>
              <c:f>C̳álculos!$C$17:$C$20</c:f>
              <c:numCache>
                <c:formatCode>_("R$"* #,##0.00_);_("R$"* \(#,##0.00\);_("R$"* "-"??_);_(@_)</c:formatCode>
                <c:ptCount val="3"/>
                <c:pt idx="0">
                  <c:v>59.3</c:v>
                </c:pt>
                <c:pt idx="1">
                  <c:v>16.592592592592592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5-468E-BAAB-8AC278E7D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2789248"/>
        <c:axId val="1742121840"/>
      </c:barChart>
      <c:catAx>
        <c:axId val="174278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2121840"/>
        <c:crosses val="autoZero"/>
        <c:auto val="1"/>
        <c:lblAlgn val="ctr"/>
        <c:lblOffset val="100"/>
        <c:noMultiLvlLbl val="0"/>
      </c:catAx>
      <c:valAx>
        <c:axId val="1742121840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4278924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de Projeto.xlsx]C̳álculos!tbl_easeasonpass_total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C̳álculos!$B$26:$B$28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C̳álculos!$C$26:$C$28</c:f>
              <c:numCache>
                <c:formatCode>_("R$"* #,##0.00_);_("R$"* \(#,##0.00\);_("R$"* "-"??_);_(@_)</c:formatCode>
                <c:ptCount val="2"/>
                <c:pt idx="0">
                  <c:v>19.727272727272727</c:v>
                </c:pt>
                <c:pt idx="1">
                  <c:v>25.616666666666667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A-402A-ADB5-905D91DB2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4269600"/>
        <c:axId val="1834272480"/>
      </c:barChart>
      <c:catAx>
        <c:axId val="1834269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4272480"/>
        <c:crosses val="autoZero"/>
        <c:auto val="1"/>
        <c:lblAlgn val="ctr"/>
        <c:lblOffset val="100"/>
        <c:noMultiLvlLbl val="0"/>
      </c:catAx>
      <c:valAx>
        <c:axId val="183427248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83426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de Projeto.xlsx]C̳álculos!Tabela dinâmica3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C̳álculos!$B$36:$B$38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C̳álculos!$C$36:$C$38</c:f>
              <c:numCache>
                <c:formatCode>_("R$"* #,##0.00_);_("R$"* \(#,##0.00\);_("R$"* "-"??_);_(@_)</c:formatCode>
                <c:ptCount val="2"/>
                <c:pt idx="0">
                  <c:v>11.137254901960784</c:v>
                </c:pt>
                <c:pt idx="1">
                  <c:v>59.3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74-48B8-9738-856997619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5621824"/>
        <c:axId val="1775620864"/>
      </c:barChart>
      <c:catAx>
        <c:axId val="1775621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5620864"/>
        <c:crosses val="autoZero"/>
        <c:auto val="1"/>
        <c:lblAlgn val="ctr"/>
        <c:lblOffset val="100"/>
        <c:noMultiLvlLbl val="0"/>
      </c:catAx>
      <c:valAx>
        <c:axId val="177562086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75621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de Projeto.xlsx]C̳álculos!Tabela dinâmica6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C̳álculos!$B$46:$B$48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C̳álculos!$C$46:$C$48</c:f>
              <c:numCache>
                <c:formatCode>_("R$"* #,##0.00_);_("R$"* \(#,##0.00\);_("R$"* "-"??_);_(@_)</c:formatCode>
                <c:ptCount val="2"/>
                <c:pt idx="0">
                  <c:v>5</c:v>
                </c:pt>
                <c:pt idx="1">
                  <c:v>34.765957446808514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B6-4EC7-B57A-35F702684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5032560"/>
        <c:axId val="1735042640"/>
      </c:barChart>
      <c:catAx>
        <c:axId val="1735032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5042640"/>
        <c:crosses val="autoZero"/>
        <c:auto val="1"/>
        <c:lblAlgn val="ctr"/>
        <c:lblOffset val="100"/>
        <c:noMultiLvlLbl val="0"/>
      </c:catAx>
      <c:valAx>
        <c:axId val="173504264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3503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chart" Target="../charts/chart1.xml"/><Relationship Id="rId7" Type="http://schemas.openxmlformats.org/officeDocument/2006/relationships/chart" Target="../charts/chart3.xml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6" Type="http://schemas.openxmlformats.org/officeDocument/2006/relationships/image" Target="../media/image12.png"/><Relationship Id="rId5" Type="http://schemas.openxmlformats.org/officeDocument/2006/relationships/chart" Target="../charts/chart2.xml"/><Relationship Id="rId4" Type="http://schemas.openxmlformats.org/officeDocument/2006/relationships/image" Target="../media/image11.png"/><Relationship Id="rId9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225592</xdr:colOff>
      <xdr:row>24</xdr:row>
      <xdr:rowOff>100396</xdr:rowOff>
    </xdr:from>
    <xdr:to>
      <xdr:col>5</xdr:col>
      <xdr:colOff>0</xdr:colOff>
      <xdr:row>26</xdr:row>
      <xdr:rowOff>104775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D7684B2-8EF3-4FB6-B82E-C16F904D4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3992" y="4824796"/>
          <a:ext cx="384008" cy="3853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5</xdr:row>
      <xdr:rowOff>0</xdr:rowOff>
    </xdr:from>
    <xdr:to>
      <xdr:col>16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11</xdr:col>
      <xdr:colOff>304800</xdr:colOff>
      <xdr:row>4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304800</xdr:colOff>
      <xdr:row>4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101530</xdr:colOff>
      <xdr:row>1</xdr:row>
      <xdr:rowOff>44824</xdr:rowOff>
    </xdr:from>
    <xdr:to>
      <xdr:col>2</xdr:col>
      <xdr:colOff>360066</xdr:colOff>
      <xdr:row>4</xdr:row>
      <xdr:rowOff>33618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759FD3-A7E1-477B-A314-603B5C812A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00" t="15140" r="73598" b="5825"/>
        <a:stretch>
          <a:fillRect/>
        </a:stretch>
      </xdr:blipFill>
      <xdr:spPr>
        <a:xfrm>
          <a:off x="2036269" y="235324"/>
          <a:ext cx="482653" cy="683559"/>
        </a:xfrm>
        <a:prstGeom prst="rect">
          <a:avLst/>
        </a:prstGeom>
      </xdr:spPr>
    </xdr:pic>
    <xdr:clientData/>
  </xdr:twoCellAnchor>
  <xdr:twoCellAnchor editAs="oneCell">
    <xdr:from>
      <xdr:col>0</xdr:col>
      <xdr:colOff>13610</xdr:colOff>
      <xdr:row>7</xdr:row>
      <xdr:rowOff>108858</xdr:rowOff>
    </xdr:from>
    <xdr:to>
      <xdr:col>0</xdr:col>
      <xdr:colOff>1926982</xdr:colOff>
      <xdr:row>20</xdr:row>
      <xdr:rowOff>76542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B815544B-6DA3-4056-BE84-F2A13DD19C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08" y="1856976"/>
              <a:ext cx="1927411" cy="26683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526115</xdr:colOff>
      <xdr:row>1</xdr:row>
      <xdr:rowOff>21851</xdr:rowOff>
    </xdr:from>
    <xdr:to>
      <xdr:col>0</xdr:col>
      <xdr:colOff>1221440</xdr:colOff>
      <xdr:row>4</xdr:row>
      <xdr:rowOff>22411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583A2D1C-1D1A-403D-AB01-ADBA1B2F2157}"/>
            </a:ext>
          </a:extLst>
        </xdr:cNvPr>
        <xdr:cNvSpPr/>
      </xdr:nvSpPr>
      <xdr:spPr>
        <a:xfrm>
          <a:off x="526115" y="212351"/>
          <a:ext cx="695325" cy="695325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 kern="1200"/>
        </a:p>
      </xdr:txBody>
    </xdr:sp>
    <xdr:clientData/>
  </xdr:twoCellAnchor>
  <xdr:twoCellAnchor>
    <xdr:from>
      <xdr:col>8</xdr:col>
      <xdr:colOff>50026</xdr:colOff>
      <xdr:row>5</xdr:row>
      <xdr:rowOff>100851</xdr:rowOff>
    </xdr:from>
    <xdr:to>
      <xdr:col>17</xdr:col>
      <xdr:colOff>2002</xdr:colOff>
      <xdr:row>21</xdr:row>
      <xdr:rowOff>0</xdr:rowOff>
    </xdr:to>
    <xdr:grpSp>
      <xdr:nvGrpSpPr>
        <xdr:cNvPr id="48" name="Agrupar 47">
          <a:extLst>
            <a:ext uri="{FF2B5EF4-FFF2-40B4-BE49-F238E27FC236}">
              <a16:creationId xmlns:a16="http://schemas.microsoft.com/office/drawing/2014/main" id="{80860458-8A80-E4DC-F888-DB5E7F0859EA}"/>
            </a:ext>
          </a:extLst>
        </xdr:cNvPr>
        <xdr:cNvGrpSpPr/>
      </xdr:nvGrpSpPr>
      <xdr:grpSpPr>
        <a:xfrm>
          <a:off x="5843467" y="1210233"/>
          <a:ext cx="5487682" cy="3429002"/>
          <a:chOff x="2548057" y="1205759"/>
          <a:chExt cx="5529143" cy="3432924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E956694B-473E-A8DF-C989-1AA7BA98408E}"/>
              </a:ext>
            </a:extLst>
          </xdr:cNvPr>
          <xdr:cNvGrpSpPr/>
        </xdr:nvGrpSpPr>
        <xdr:grpSpPr>
          <a:xfrm>
            <a:off x="2548057" y="1205759"/>
            <a:ext cx="5529143" cy="3432924"/>
            <a:chOff x="2109906" y="3686735"/>
            <a:chExt cx="5487682" cy="3428999"/>
          </a:xfrm>
        </xdr:grpSpPr>
        <xdr:grpSp>
          <xdr:nvGrpSpPr>
            <xdr:cNvPr id="29" name="Agrupar 28">
              <a:extLst>
                <a:ext uri="{FF2B5EF4-FFF2-40B4-BE49-F238E27FC236}">
                  <a16:creationId xmlns:a16="http://schemas.microsoft.com/office/drawing/2014/main" id="{331E718D-33A9-0BAE-3402-0EC3EDF4E9D6}"/>
                </a:ext>
              </a:extLst>
            </xdr:cNvPr>
            <xdr:cNvGrpSpPr/>
          </xdr:nvGrpSpPr>
          <xdr:grpSpPr>
            <a:xfrm>
              <a:off x="2109906" y="3686735"/>
              <a:ext cx="5487682" cy="3428999"/>
              <a:chOff x="2109105" y="3673929"/>
              <a:chExt cx="8422824" cy="3428999"/>
            </a:xfrm>
          </xdr:grpSpPr>
          <xdr:sp macro="" textlink="">
            <xdr:nvSpPr>
              <xdr:cNvPr id="5" name="Retângulo: Cantos Arredondados 4">
                <a:extLst>
                  <a:ext uri="{FF2B5EF4-FFF2-40B4-BE49-F238E27FC236}">
                    <a16:creationId xmlns:a16="http://schemas.microsoft.com/office/drawing/2014/main" id="{1B921D24-A6C3-A9B7-03CC-AE9C12A46156}"/>
                  </a:ext>
                </a:extLst>
              </xdr:cNvPr>
              <xdr:cNvSpPr/>
            </xdr:nvSpPr>
            <xdr:spPr>
              <a:xfrm>
                <a:off x="2109105" y="3673929"/>
                <a:ext cx="8422824" cy="3428999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26" name="Retângulo: Cantos Superiores Arredondados 25">
                <a:extLst>
                  <a:ext uri="{FF2B5EF4-FFF2-40B4-BE49-F238E27FC236}">
                    <a16:creationId xmlns:a16="http://schemas.microsoft.com/office/drawing/2014/main" id="{97BE7AEF-0CCC-4F40-958B-4AE7F9C2B043}"/>
                  </a:ext>
                </a:extLst>
              </xdr:cNvPr>
              <xdr:cNvSpPr/>
            </xdr:nvSpPr>
            <xdr:spPr>
              <a:xfrm>
                <a:off x="2109105" y="3673929"/>
                <a:ext cx="8422823" cy="520473"/>
              </a:xfrm>
              <a:prstGeom prst="round2SameRect">
                <a:avLst/>
              </a:prstGeom>
              <a:solidFill>
                <a:srgbClr val="9BC848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 b="1">
                    <a:latin typeface="Segoe UI" panose="020B0502040204020203" pitchFamily="34" charset="0"/>
                    <a:cs typeface="Segoe UI" panose="020B0502040204020203" pitchFamily="34" charset="0"/>
                  </a:rPr>
                  <a:t>RECEITA TOTAL POR PLANO</a:t>
                </a:r>
              </a:p>
            </xdr:txBody>
          </xdr:sp>
        </xdr:grp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7CED2687-3A0A-438E-B49B-C57CAC60B3D0}"/>
                </a:ext>
              </a:extLst>
            </xdr:cNvPr>
            <xdr:cNvGraphicFramePr>
              <a:graphicFrameLocks/>
            </xdr:cNvGraphicFramePr>
          </xdr:nvGraphicFramePr>
          <xdr:xfrm>
            <a:off x="2756647" y="4258235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pic>
        <xdr:nvPicPr>
          <xdr:cNvPr id="47" name="Imagem 46">
            <a:extLst>
              <a:ext uri="{FF2B5EF4-FFF2-40B4-BE49-F238E27FC236}">
                <a16:creationId xmlns:a16="http://schemas.microsoft.com/office/drawing/2014/main" id="{E704E6EB-018C-4F47-B854-29825B8FE9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16909" y="1292926"/>
            <a:ext cx="384008" cy="385379"/>
          </a:xfrm>
          <a:prstGeom prst="rect">
            <a:avLst/>
          </a:prstGeom>
        </xdr:spPr>
      </xdr:pic>
    </xdr:grpSp>
    <xdr:clientData/>
  </xdr:twoCellAnchor>
  <xdr:twoCellAnchor>
    <xdr:from>
      <xdr:col>17</xdr:col>
      <xdr:colOff>591910</xdr:colOff>
      <xdr:row>5</xdr:row>
      <xdr:rowOff>100851</xdr:rowOff>
    </xdr:from>
    <xdr:to>
      <xdr:col>27</xdr:col>
      <xdr:colOff>28415</xdr:colOff>
      <xdr:row>20</xdr:row>
      <xdr:rowOff>190497</xdr:rowOff>
    </xdr:to>
    <xdr:grpSp>
      <xdr:nvGrpSpPr>
        <xdr:cNvPr id="54" name="Agrupar 53">
          <a:extLst>
            <a:ext uri="{FF2B5EF4-FFF2-40B4-BE49-F238E27FC236}">
              <a16:creationId xmlns:a16="http://schemas.microsoft.com/office/drawing/2014/main" id="{E7C71CD0-CE9E-7E19-30EC-CA2167632116}"/>
            </a:ext>
          </a:extLst>
        </xdr:cNvPr>
        <xdr:cNvGrpSpPr/>
      </xdr:nvGrpSpPr>
      <xdr:grpSpPr>
        <a:xfrm>
          <a:off x="11921057" y="1210233"/>
          <a:ext cx="5487682" cy="3428999"/>
          <a:chOff x="8796618" y="1210236"/>
          <a:chExt cx="5487682" cy="3428999"/>
        </a:xfrm>
      </xdr:grpSpPr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3A373713-8A3B-C9C3-B544-0C0A1E2D1BE1}"/>
              </a:ext>
            </a:extLst>
          </xdr:cNvPr>
          <xdr:cNvGrpSpPr/>
        </xdr:nvGrpSpPr>
        <xdr:grpSpPr>
          <a:xfrm>
            <a:off x="8796618" y="1210236"/>
            <a:ext cx="5487682" cy="3428999"/>
            <a:chOff x="8639735" y="4067735"/>
            <a:chExt cx="5487682" cy="3428999"/>
          </a:xfrm>
        </xdr:grpSpPr>
        <xdr:grpSp>
          <xdr:nvGrpSpPr>
            <xdr:cNvPr id="17" name="Agrupar 16">
              <a:extLst>
                <a:ext uri="{FF2B5EF4-FFF2-40B4-BE49-F238E27FC236}">
                  <a16:creationId xmlns:a16="http://schemas.microsoft.com/office/drawing/2014/main" id="{8D59AFD1-B0C4-E481-33FF-FA291F8AABE2}"/>
                </a:ext>
              </a:extLst>
            </xdr:cNvPr>
            <xdr:cNvGrpSpPr/>
          </xdr:nvGrpSpPr>
          <xdr:grpSpPr>
            <a:xfrm>
              <a:off x="8639735" y="4067735"/>
              <a:ext cx="5487682" cy="3428999"/>
              <a:chOff x="2109105" y="3673929"/>
              <a:chExt cx="8422824" cy="3428999"/>
            </a:xfrm>
          </xdr:grpSpPr>
          <xdr:sp macro="" textlink="">
            <xdr:nvSpPr>
              <xdr:cNvPr id="19" name="Retângulo: Cantos Arredondados 18">
                <a:extLst>
                  <a:ext uri="{FF2B5EF4-FFF2-40B4-BE49-F238E27FC236}">
                    <a16:creationId xmlns:a16="http://schemas.microsoft.com/office/drawing/2014/main" id="{401E8747-2528-870C-09DC-775AAE8DA262}"/>
                  </a:ext>
                </a:extLst>
              </xdr:cNvPr>
              <xdr:cNvSpPr/>
            </xdr:nvSpPr>
            <xdr:spPr>
              <a:xfrm>
                <a:off x="2109105" y="3673929"/>
                <a:ext cx="8422824" cy="3428999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20" name="Retângulo: Cantos Superiores Arredondados 19">
                <a:extLst>
                  <a:ext uri="{FF2B5EF4-FFF2-40B4-BE49-F238E27FC236}">
                    <a16:creationId xmlns:a16="http://schemas.microsoft.com/office/drawing/2014/main" id="{945FE833-668C-4094-CAEB-2AB7B171E3DD}"/>
                  </a:ext>
                </a:extLst>
              </xdr:cNvPr>
              <xdr:cNvSpPr/>
            </xdr:nvSpPr>
            <xdr:spPr>
              <a:xfrm>
                <a:off x="2109105" y="3673929"/>
                <a:ext cx="8422823" cy="520473"/>
              </a:xfrm>
              <a:prstGeom prst="round2SameRect">
                <a:avLst/>
              </a:prstGeom>
              <a:solidFill>
                <a:srgbClr val="9BC848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 b="1">
                    <a:latin typeface="Segoe UI" panose="020B0502040204020203" pitchFamily="34" charset="0"/>
                    <a:cs typeface="Segoe UI" panose="020B0502040204020203" pitchFamily="34" charset="0"/>
                  </a:rPr>
                  <a:t>TICKET MÉDIO POR PLANO</a:t>
                </a:r>
              </a:p>
            </xdr:txBody>
          </xdr:sp>
        </xdr:grpSp>
        <xdr:graphicFrame macro="">
          <xdr:nvGraphicFramePr>
            <xdr:cNvPr id="21" name="Gráfico 20">
              <a:extLst>
                <a:ext uri="{FF2B5EF4-FFF2-40B4-BE49-F238E27FC236}">
                  <a16:creationId xmlns:a16="http://schemas.microsoft.com/office/drawing/2014/main" id="{607F3DC2-5273-4C51-96C0-A2BB00D24610}"/>
                </a:ext>
              </a:extLst>
            </xdr:cNvPr>
            <xdr:cNvGraphicFramePr>
              <a:graphicFrameLocks/>
            </xdr:cNvGraphicFramePr>
          </xdr:nvGraphicFramePr>
          <xdr:xfrm>
            <a:off x="9244853" y="4639235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pic>
        <xdr:nvPicPr>
          <xdr:cNvPr id="49" name="Imagem 48">
            <a:extLst>
              <a:ext uri="{FF2B5EF4-FFF2-40B4-BE49-F238E27FC236}">
                <a16:creationId xmlns:a16="http://schemas.microsoft.com/office/drawing/2014/main" id="{70E065D0-5D00-4B95-A0E3-A4C7D9D558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991435" y="1307942"/>
            <a:ext cx="384008" cy="380337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36818</xdr:colOff>
      <xdr:row>23</xdr:row>
      <xdr:rowOff>1</xdr:rowOff>
    </xdr:from>
    <xdr:to>
      <xdr:col>12</xdr:col>
      <xdr:colOff>246530</xdr:colOff>
      <xdr:row>41</xdr:row>
      <xdr:rowOff>0</xdr:rowOff>
    </xdr:to>
    <xdr:grpSp>
      <xdr:nvGrpSpPr>
        <xdr:cNvPr id="53" name="Agrupar 52">
          <a:extLst>
            <a:ext uri="{FF2B5EF4-FFF2-40B4-BE49-F238E27FC236}">
              <a16:creationId xmlns:a16="http://schemas.microsoft.com/office/drawing/2014/main" id="{BFCED18A-99AF-F7B7-855F-A392BBB45B36}"/>
            </a:ext>
          </a:extLst>
        </xdr:cNvPr>
        <xdr:cNvGrpSpPr/>
      </xdr:nvGrpSpPr>
      <xdr:grpSpPr>
        <a:xfrm>
          <a:off x="2804671" y="5020236"/>
          <a:ext cx="5487683" cy="3428999"/>
          <a:chOff x="14968226" y="1207219"/>
          <a:chExt cx="5517851" cy="3430723"/>
        </a:xfrm>
      </xdr:grpSpPr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03F10601-BAA2-3EA2-BD74-3CA5EB825159}"/>
              </a:ext>
            </a:extLst>
          </xdr:cNvPr>
          <xdr:cNvGrpSpPr/>
        </xdr:nvGrpSpPr>
        <xdr:grpSpPr>
          <a:xfrm>
            <a:off x="14968226" y="1207219"/>
            <a:ext cx="5517851" cy="3430723"/>
            <a:chOff x="2109105" y="3673929"/>
            <a:chExt cx="8422824" cy="3428999"/>
          </a:xfrm>
        </xdr:grpSpPr>
        <xdr:sp macro="" textlink="">
          <xdr:nvSpPr>
            <xdr:cNvPr id="28" name="Retângulo: Cantos Arredondados 27">
              <a:extLst>
                <a:ext uri="{FF2B5EF4-FFF2-40B4-BE49-F238E27FC236}">
                  <a16:creationId xmlns:a16="http://schemas.microsoft.com/office/drawing/2014/main" id="{8E1B974E-558C-6DD2-2A68-50A86F9221DE}"/>
                </a:ext>
              </a:extLst>
            </xdr:cNvPr>
            <xdr:cNvSpPr/>
          </xdr:nvSpPr>
          <xdr:spPr>
            <a:xfrm>
              <a:off x="2109105" y="3673929"/>
              <a:ext cx="8422824" cy="3428999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2" name="Retângulo: Cantos Superiores Arredondados 31">
              <a:extLst>
                <a:ext uri="{FF2B5EF4-FFF2-40B4-BE49-F238E27FC236}">
                  <a16:creationId xmlns:a16="http://schemas.microsoft.com/office/drawing/2014/main" id="{11AA63BE-D7D2-7DF1-0127-F2214FCDED8B}"/>
                </a:ext>
              </a:extLst>
            </xdr:cNvPr>
            <xdr:cNvSpPr/>
          </xdr:nvSpPr>
          <xdr:spPr>
            <a:xfrm>
              <a:off x="2109105" y="3673929"/>
              <a:ext cx="8422823" cy="520473"/>
            </a:xfrm>
            <a:prstGeom prst="round2SameRect">
              <a:avLst/>
            </a:prstGeom>
            <a:solidFill>
              <a:srgbClr val="9BC84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AUTO RENOVAÇÃO X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VALOR GASTO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pic>
        <xdr:nvPicPr>
          <xdr:cNvPr id="50" name="Imagem 49">
            <a:extLst>
              <a:ext uri="{FF2B5EF4-FFF2-40B4-BE49-F238E27FC236}">
                <a16:creationId xmlns:a16="http://schemas.microsoft.com/office/drawing/2014/main" id="{91E1560C-19F6-4716-8916-42C9A5DBF5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139517" y="1293218"/>
            <a:ext cx="384008" cy="384647"/>
          </a:xfrm>
          <a:prstGeom prst="rect">
            <a:avLst/>
          </a:prstGeom>
        </xdr:spPr>
      </xdr:pic>
      <xdr:graphicFrame macro="">
        <xdr:nvGraphicFramePr>
          <xdr:cNvPr id="35" name="Gráfico 34">
            <a:extLst>
              <a:ext uri="{FF2B5EF4-FFF2-40B4-BE49-F238E27FC236}">
                <a16:creationId xmlns:a16="http://schemas.microsoft.com/office/drawing/2014/main" id="{6388D6AC-3E7F-4AE8-B463-FAE3CBF9E8AB}"/>
              </a:ext>
            </a:extLst>
          </xdr:cNvPr>
          <xdr:cNvGraphicFramePr>
            <a:graphicFrameLocks/>
          </xdr:cNvGraphicFramePr>
        </xdr:nvGraphicFramePr>
        <xdr:xfrm>
          <a:off x="15621000" y="1743808"/>
          <a:ext cx="4593119" cy="274621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 editAs="absolute">
    <xdr:from>
      <xdr:col>13</xdr:col>
      <xdr:colOff>231321</xdr:colOff>
      <xdr:row>23</xdr:row>
      <xdr:rowOff>1</xdr:rowOff>
    </xdr:from>
    <xdr:to>
      <xdr:col>22</xdr:col>
      <xdr:colOff>15209</xdr:colOff>
      <xdr:row>41</xdr:row>
      <xdr:rowOff>0</xdr:rowOff>
    </xdr:to>
    <xdr:grpSp>
      <xdr:nvGrpSpPr>
        <xdr:cNvPr id="81" name="Agrupar 80">
          <a:extLst>
            <a:ext uri="{FF2B5EF4-FFF2-40B4-BE49-F238E27FC236}">
              <a16:creationId xmlns:a16="http://schemas.microsoft.com/office/drawing/2014/main" id="{FC463E2D-C88D-DE68-64C3-8CBD047E0518}"/>
            </a:ext>
          </a:extLst>
        </xdr:cNvPr>
        <xdr:cNvGrpSpPr/>
      </xdr:nvGrpSpPr>
      <xdr:grpSpPr>
        <a:xfrm>
          <a:off x="8882262" y="5020236"/>
          <a:ext cx="5487682" cy="3428999"/>
          <a:chOff x="8897470" y="5020236"/>
          <a:chExt cx="5487682" cy="3428999"/>
        </a:xfrm>
      </xdr:grpSpPr>
      <xdr:grpSp>
        <xdr:nvGrpSpPr>
          <xdr:cNvPr id="67" name="Agrupar 66">
            <a:extLst>
              <a:ext uri="{FF2B5EF4-FFF2-40B4-BE49-F238E27FC236}">
                <a16:creationId xmlns:a16="http://schemas.microsoft.com/office/drawing/2014/main" id="{4F74970C-95CB-4734-8E54-03197F82DE06}"/>
              </a:ext>
            </a:extLst>
          </xdr:cNvPr>
          <xdr:cNvGrpSpPr/>
        </xdr:nvGrpSpPr>
        <xdr:grpSpPr>
          <a:xfrm>
            <a:off x="8897470" y="5020236"/>
            <a:ext cx="5487682" cy="3428999"/>
            <a:chOff x="14968226" y="1207219"/>
            <a:chExt cx="5517851" cy="3430723"/>
          </a:xfrm>
        </xdr:grpSpPr>
        <xdr:grpSp>
          <xdr:nvGrpSpPr>
            <xdr:cNvPr id="68" name="Agrupar 67">
              <a:extLst>
                <a:ext uri="{FF2B5EF4-FFF2-40B4-BE49-F238E27FC236}">
                  <a16:creationId xmlns:a16="http://schemas.microsoft.com/office/drawing/2014/main" id="{B5B93F1B-A86D-3638-F5DF-312FCECEB655}"/>
                </a:ext>
              </a:extLst>
            </xdr:cNvPr>
            <xdr:cNvGrpSpPr/>
          </xdr:nvGrpSpPr>
          <xdr:grpSpPr>
            <a:xfrm>
              <a:off x="14968226" y="1207219"/>
              <a:ext cx="5517851" cy="3430723"/>
              <a:chOff x="2109105" y="3673929"/>
              <a:chExt cx="8422824" cy="3428999"/>
            </a:xfrm>
          </xdr:grpSpPr>
          <xdr:sp macro="" textlink="">
            <xdr:nvSpPr>
              <xdr:cNvPr id="71" name="Retângulo: Cantos Arredondados 70">
                <a:extLst>
                  <a:ext uri="{FF2B5EF4-FFF2-40B4-BE49-F238E27FC236}">
                    <a16:creationId xmlns:a16="http://schemas.microsoft.com/office/drawing/2014/main" id="{D2987A5F-2D51-D0B8-66EC-23C71E3364F3}"/>
                  </a:ext>
                </a:extLst>
              </xdr:cNvPr>
              <xdr:cNvSpPr/>
            </xdr:nvSpPr>
            <xdr:spPr>
              <a:xfrm>
                <a:off x="2109105" y="3673929"/>
                <a:ext cx="8422824" cy="3428999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72" name="Retângulo: Cantos Superiores Arredondados 71">
                <a:extLst>
                  <a:ext uri="{FF2B5EF4-FFF2-40B4-BE49-F238E27FC236}">
                    <a16:creationId xmlns:a16="http://schemas.microsoft.com/office/drawing/2014/main" id="{9434D2E3-A398-5066-2415-1931D0A5EE02}"/>
                  </a:ext>
                </a:extLst>
              </xdr:cNvPr>
              <xdr:cNvSpPr/>
            </xdr:nvSpPr>
            <xdr:spPr>
              <a:xfrm>
                <a:off x="2109105" y="3673929"/>
                <a:ext cx="8422823" cy="520473"/>
              </a:xfrm>
              <a:prstGeom prst="round2SameRect">
                <a:avLst/>
              </a:prstGeom>
              <a:solidFill>
                <a:srgbClr val="9BC848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 b="1">
                    <a:latin typeface="Segoe UI" panose="020B0502040204020203" pitchFamily="34" charset="0"/>
                    <a:cs typeface="Segoe UI" panose="020B0502040204020203" pitchFamily="34" charset="0"/>
                  </a:rPr>
                  <a:t>IMPACTO DOS SEASON PASS NO TICKET MÉDIO</a:t>
                </a:r>
              </a:p>
            </xdr:txBody>
          </xdr:sp>
        </xdr:grpSp>
        <xdr:pic>
          <xdr:nvPicPr>
            <xdr:cNvPr id="69" name="Imagem 68">
              <a:extLst>
                <a:ext uri="{FF2B5EF4-FFF2-40B4-BE49-F238E27FC236}">
                  <a16:creationId xmlns:a16="http://schemas.microsoft.com/office/drawing/2014/main" id="{F24D476F-DA71-8552-2FA1-E94A73340AC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5128237" y="1293218"/>
              <a:ext cx="384008" cy="384647"/>
            </a:xfrm>
            <a:prstGeom prst="rect">
              <a:avLst/>
            </a:prstGeom>
          </xdr:spPr>
        </xdr:pic>
      </xdr:grpSp>
      <xdr:graphicFrame macro="">
        <xdr:nvGraphicFramePr>
          <xdr:cNvPr id="79" name="Gráfico 78">
            <a:extLst>
              <a:ext uri="{FF2B5EF4-FFF2-40B4-BE49-F238E27FC236}">
                <a16:creationId xmlns:a16="http://schemas.microsoft.com/office/drawing/2014/main" id="{D7E7EB2E-3138-4FC7-B33A-0071D12AC571}"/>
              </a:ext>
            </a:extLst>
          </xdr:cNvPr>
          <xdr:cNvGraphicFramePr>
            <a:graphicFrameLocks/>
          </xdr:cNvGraphicFramePr>
        </xdr:nvGraphicFramePr>
        <xdr:xfrm>
          <a:off x="9256059" y="5591735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23</xdr:col>
      <xdr:colOff>0</xdr:colOff>
      <xdr:row>23</xdr:row>
      <xdr:rowOff>1</xdr:rowOff>
    </xdr:from>
    <xdr:to>
      <xdr:col>32</xdr:col>
      <xdr:colOff>41623</xdr:colOff>
      <xdr:row>41</xdr:row>
      <xdr:rowOff>0</xdr:rowOff>
    </xdr:to>
    <xdr:grpSp>
      <xdr:nvGrpSpPr>
        <xdr:cNvPr id="82" name="Agrupar 81">
          <a:extLst>
            <a:ext uri="{FF2B5EF4-FFF2-40B4-BE49-F238E27FC236}">
              <a16:creationId xmlns:a16="http://schemas.microsoft.com/office/drawing/2014/main" id="{A3328E36-5A60-0030-1557-D0610BDF4D6F}"/>
            </a:ext>
          </a:extLst>
        </xdr:cNvPr>
        <xdr:cNvGrpSpPr/>
      </xdr:nvGrpSpPr>
      <xdr:grpSpPr>
        <a:xfrm>
          <a:off x="14959853" y="5020236"/>
          <a:ext cx="5487682" cy="3428999"/>
          <a:chOff x="14959853" y="5020236"/>
          <a:chExt cx="5487682" cy="3428999"/>
        </a:xfrm>
      </xdr:grpSpPr>
      <xdr:grpSp>
        <xdr:nvGrpSpPr>
          <xdr:cNvPr id="73" name="Agrupar 72">
            <a:extLst>
              <a:ext uri="{FF2B5EF4-FFF2-40B4-BE49-F238E27FC236}">
                <a16:creationId xmlns:a16="http://schemas.microsoft.com/office/drawing/2014/main" id="{C8360E3D-2024-4F66-934F-782636637394}"/>
              </a:ext>
            </a:extLst>
          </xdr:cNvPr>
          <xdr:cNvGrpSpPr/>
        </xdr:nvGrpSpPr>
        <xdr:grpSpPr>
          <a:xfrm>
            <a:off x="14959853" y="5020236"/>
            <a:ext cx="5487682" cy="3428999"/>
            <a:chOff x="14968226" y="1207219"/>
            <a:chExt cx="5517851" cy="3430723"/>
          </a:xfrm>
        </xdr:grpSpPr>
        <xdr:grpSp>
          <xdr:nvGrpSpPr>
            <xdr:cNvPr id="74" name="Agrupar 73">
              <a:extLst>
                <a:ext uri="{FF2B5EF4-FFF2-40B4-BE49-F238E27FC236}">
                  <a16:creationId xmlns:a16="http://schemas.microsoft.com/office/drawing/2014/main" id="{56B88881-6C10-3F96-DC12-2798218ADA89}"/>
                </a:ext>
              </a:extLst>
            </xdr:cNvPr>
            <xdr:cNvGrpSpPr/>
          </xdr:nvGrpSpPr>
          <xdr:grpSpPr>
            <a:xfrm>
              <a:off x="14968226" y="1207219"/>
              <a:ext cx="5517851" cy="3430723"/>
              <a:chOff x="2109105" y="3673929"/>
              <a:chExt cx="8422824" cy="3428999"/>
            </a:xfrm>
          </xdr:grpSpPr>
          <xdr:sp macro="" textlink="">
            <xdr:nvSpPr>
              <xdr:cNvPr id="77" name="Retângulo: Cantos Arredondados 76">
                <a:extLst>
                  <a:ext uri="{FF2B5EF4-FFF2-40B4-BE49-F238E27FC236}">
                    <a16:creationId xmlns:a16="http://schemas.microsoft.com/office/drawing/2014/main" id="{FC3C44FC-E2CD-D144-7B2F-32EF882D421E}"/>
                  </a:ext>
                </a:extLst>
              </xdr:cNvPr>
              <xdr:cNvSpPr/>
            </xdr:nvSpPr>
            <xdr:spPr>
              <a:xfrm>
                <a:off x="2109105" y="3673929"/>
                <a:ext cx="8422824" cy="3428999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78" name="Retângulo: Cantos Superiores Arredondados 77">
                <a:extLst>
                  <a:ext uri="{FF2B5EF4-FFF2-40B4-BE49-F238E27FC236}">
                    <a16:creationId xmlns:a16="http://schemas.microsoft.com/office/drawing/2014/main" id="{4677C5E1-C19F-A0B0-7F08-EAFC54BD1179}"/>
                  </a:ext>
                </a:extLst>
              </xdr:cNvPr>
              <xdr:cNvSpPr/>
            </xdr:nvSpPr>
            <xdr:spPr>
              <a:xfrm>
                <a:off x="2109105" y="3673929"/>
                <a:ext cx="8422823" cy="520473"/>
              </a:xfrm>
              <a:prstGeom prst="round2SameRect">
                <a:avLst/>
              </a:prstGeom>
              <a:solidFill>
                <a:srgbClr val="9BC848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 b="1" baseline="0">
                    <a:latin typeface="Segoe UI" panose="020B0502040204020203" pitchFamily="34" charset="0"/>
                    <a:cs typeface="Segoe UI" panose="020B0502040204020203" pitchFamily="34" charset="0"/>
                  </a:rPr>
                  <a:t>IMPACTO DO USO DE CUPONS NO VALOR MÉDIO</a:t>
                </a:r>
                <a:endParaRPr lang="pt-BR" sz="1100" b="1"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</xdr:grpSp>
        <xdr:pic>
          <xdr:nvPicPr>
            <xdr:cNvPr id="75" name="Imagem 74">
              <a:extLst>
                <a:ext uri="{FF2B5EF4-FFF2-40B4-BE49-F238E27FC236}">
                  <a16:creationId xmlns:a16="http://schemas.microsoft.com/office/drawing/2014/main" id="{488A5AE5-9982-93E1-8C06-8909B40F12E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5150780" y="1293218"/>
              <a:ext cx="384008" cy="384647"/>
            </a:xfrm>
            <a:prstGeom prst="rect">
              <a:avLst/>
            </a:prstGeom>
          </xdr:spPr>
        </xdr:pic>
      </xdr:grpSp>
      <xdr:graphicFrame macro="">
        <xdr:nvGraphicFramePr>
          <xdr:cNvPr id="80" name="Gráfico 79">
            <a:extLst>
              <a:ext uri="{FF2B5EF4-FFF2-40B4-BE49-F238E27FC236}">
                <a16:creationId xmlns:a16="http://schemas.microsoft.com/office/drawing/2014/main" id="{3AF5C79D-99B8-49E9-9E25-6828AA330F59}"/>
              </a:ext>
            </a:extLst>
          </xdr:cNvPr>
          <xdr:cNvGraphicFramePr>
            <a:graphicFrameLocks/>
          </xdr:cNvGraphicFramePr>
        </xdr:nvGraphicFramePr>
        <xdr:xfrm>
          <a:off x="15508941" y="5537946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álik" refreshedDate="46042.933608101848" createdVersion="8" refreshedVersion="8" minRefreshableVersion="3" recordCount="295" xr:uid="{2AC8C955-D251-46E0-96ED-1A0110883F1B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Has Season Pass" numFmtId="44">
      <sharedItems count="2">
        <s v="Yes"/>
        <s v="No"/>
      </sharedItems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Coupon Used" numFmtId="44">
      <sharedItems count="2">
        <s v="Yes"/>
        <s v="No"/>
      </sharedItems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1410637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x v="0"/>
    <x v="0"/>
    <x v="0"/>
    <n v="60"/>
  </r>
  <r>
    <n v="3232"/>
    <s v="Maria Oliveira"/>
    <x v="1"/>
    <d v="2024-01-15T00:00:00"/>
    <x v="1"/>
    <n v="5"/>
    <x v="1"/>
    <s v="No"/>
    <s v="-"/>
    <s v="No"/>
    <n v="0"/>
    <x v="1"/>
    <x v="1"/>
    <x v="1"/>
    <n v="5"/>
  </r>
  <r>
    <n v="3233"/>
    <s v="Lucas Fernandes"/>
    <x v="2"/>
    <d v="2024-02-10T00:00:00"/>
    <x v="0"/>
    <n v="10"/>
    <x v="2"/>
    <s v="No"/>
    <s v="-"/>
    <s v="Yes"/>
    <n v="20"/>
    <x v="1"/>
    <x v="2"/>
    <x v="0"/>
    <n v="20"/>
  </r>
  <r>
    <n v="3234"/>
    <s v="Ana Souza"/>
    <x v="0"/>
    <d v="2024-02-20T00:00:00"/>
    <x v="1"/>
    <n v="15"/>
    <x v="0"/>
    <s v="Yes"/>
    <n v="30"/>
    <s v="Yes"/>
    <n v="20"/>
    <x v="0"/>
    <x v="3"/>
    <x v="0"/>
    <n v="62"/>
  </r>
  <r>
    <n v="3235"/>
    <s v="Pedro Gonçalves"/>
    <x v="1"/>
    <d v="2024-03-05T00:00:00"/>
    <x v="0"/>
    <n v="5"/>
    <x v="0"/>
    <s v="No"/>
    <s v="-"/>
    <s v="No"/>
    <n v="0"/>
    <x v="1"/>
    <x v="4"/>
    <x v="0"/>
    <n v="4"/>
  </r>
  <r>
    <n v="3236"/>
    <s v="Felipe Costa"/>
    <x v="2"/>
    <d v="2024-03-02T00:00:00"/>
    <x v="1"/>
    <n v="10"/>
    <x v="0"/>
    <s v="No"/>
    <s v="-"/>
    <s v="Yes"/>
    <n v="20"/>
    <x v="1"/>
    <x v="5"/>
    <x v="0"/>
    <n v="28"/>
  </r>
  <r>
    <n v="3237"/>
    <s v="Camila Ribeiro"/>
    <x v="0"/>
    <d v="2024-03-03T00:00:00"/>
    <x v="0"/>
    <n v="15"/>
    <x v="2"/>
    <s v="Yes"/>
    <n v="30"/>
    <s v="Yes"/>
    <n v="20"/>
    <x v="0"/>
    <x v="2"/>
    <x v="0"/>
    <n v="55"/>
  </r>
  <r>
    <n v="3238"/>
    <s v="André Mendes"/>
    <x v="1"/>
    <d v="2024-03-04T00:00:00"/>
    <x v="0"/>
    <n v="5"/>
    <x v="1"/>
    <s v="No"/>
    <s v="-"/>
    <s v="No"/>
    <n v="0"/>
    <x v="1"/>
    <x v="1"/>
    <x v="1"/>
    <n v="5"/>
  </r>
  <r>
    <n v="3239"/>
    <s v="Sofia Almeida"/>
    <x v="0"/>
    <d v="2024-03-05T00:00:00"/>
    <x v="1"/>
    <n v="15"/>
    <x v="0"/>
    <s v="Yes"/>
    <n v="30"/>
    <s v="Yes"/>
    <n v="20"/>
    <x v="0"/>
    <x v="0"/>
    <x v="0"/>
    <n v="60"/>
  </r>
  <r>
    <n v="3240"/>
    <s v="Bruno Martins"/>
    <x v="2"/>
    <d v="2024-03-06T00:00:00"/>
    <x v="0"/>
    <n v="10"/>
    <x v="2"/>
    <s v="No"/>
    <s v="-"/>
    <s v="Yes"/>
    <n v="20"/>
    <x v="1"/>
    <x v="6"/>
    <x v="0"/>
    <n v="15"/>
  </r>
  <r>
    <n v="3241"/>
    <s v="Rita Castro"/>
    <x v="1"/>
    <d v="2024-03-07T00:00:00"/>
    <x v="1"/>
    <n v="5"/>
    <x v="0"/>
    <s v="No"/>
    <s v="-"/>
    <s v="No"/>
    <n v="0"/>
    <x v="1"/>
    <x v="4"/>
    <x v="0"/>
    <n v="4"/>
  </r>
  <r>
    <n v="3242"/>
    <s v="Marco Túlio"/>
    <x v="0"/>
    <d v="2024-03-08T00:00:00"/>
    <x v="0"/>
    <n v="15"/>
    <x v="1"/>
    <s v="Yes"/>
    <n v="30"/>
    <s v="Yes"/>
    <n v="20"/>
    <x v="0"/>
    <x v="7"/>
    <x v="0"/>
    <n v="45"/>
  </r>
  <r>
    <n v="3243"/>
    <s v="Lívia Silveira"/>
    <x v="2"/>
    <d v="2024-03-09T00:00:00"/>
    <x v="1"/>
    <n v="10"/>
    <x v="0"/>
    <s v="No"/>
    <s v="-"/>
    <s v="Yes"/>
    <n v="20"/>
    <x v="1"/>
    <x v="2"/>
    <x v="0"/>
    <n v="20"/>
  </r>
  <r>
    <n v="3244"/>
    <s v="Diogo Sousa"/>
    <x v="1"/>
    <d v="2024-03-10T00:00:00"/>
    <x v="0"/>
    <n v="5"/>
    <x v="2"/>
    <s v="No"/>
    <s v="-"/>
    <s v="No"/>
    <n v="0"/>
    <x v="1"/>
    <x v="1"/>
    <x v="1"/>
    <n v="5"/>
  </r>
  <r>
    <n v="3245"/>
    <s v="Fernanda Lima"/>
    <x v="0"/>
    <d v="2024-03-11T00:00:00"/>
    <x v="1"/>
    <n v="15"/>
    <x v="0"/>
    <s v="Yes"/>
    <n v="30"/>
    <s v="Yes"/>
    <n v="20"/>
    <x v="0"/>
    <x v="8"/>
    <x v="0"/>
    <n v="57"/>
  </r>
  <r>
    <n v="3246"/>
    <s v="Caio Pereira"/>
    <x v="2"/>
    <d v="2024-03-12T00:00:00"/>
    <x v="0"/>
    <n v="10"/>
    <x v="1"/>
    <s v="No"/>
    <s v="-"/>
    <s v="Yes"/>
    <n v="20"/>
    <x v="1"/>
    <x v="9"/>
    <x v="0"/>
    <n v="18"/>
  </r>
  <r>
    <n v="3247"/>
    <s v="Beatriz Gomes"/>
    <x v="1"/>
    <d v="2024-03-13T00:00:00"/>
    <x v="1"/>
    <n v="5"/>
    <x v="0"/>
    <s v="No"/>
    <s v="-"/>
    <s v="No"/>
    <n v="0"/>
    <x v="1"/>
    <x v="5"/>
    <x v="0"/>
    <n v="3"/>
  </r>
  <r>
    <n v="3248"/>
    <s v="Cesar Oliveira"/>
    <x v="0"/>
    <d v="2024-03-14T00:00:00"/>
    <x v="0"/>
    <n v="15"/>
    <x v="2"/>
    <s v="Yes"/>
    <n v="30"/>
    <s v="Yes"/>
    <n v="20"/>
    <x v="0"/>
    <x v="10"/>
    <x v="0"/>
    <n v="58"/>
  </r>
  <r>
    <n v="3249"/>
    <s v="Débora Machado"/>
    <x v="2"/>
    <d v="2024-03-15T00:00:00"/>
    <x v="1"/>
    <n v="10"/>
    <x v="0"/>
    <s v="No"/>
    <s v="-"/>
    <s v="Yes"/>
    <n v="20"/>
    <x v="1"/>
    <x v="0"/>
    <x v="0"/>
    <n v="25"/>
  </r>
  <r>
    <n v="3250"/>
    <s v="Eduardo Vargas"/>
    <x v="1"/>
    <d v="2024-03-16T00:00:00"/>
    <x v="0"/>
    <n v="5"/>
    <x v="1"/>
    <s v="No"/>
    <s v="-"/>
    <s v="No"/>
    <n v="0"/>
    <x v="1"/>
    <x v="1"/>
    <x v="1"/>
    <n v="5"/>
  </r>
  <r>
    <n v="3251"/>
    <s v="Gabriela Santos"/>
    <x v="0"/>
    <d v="2024-03-17T00:00:00"/>
    <x v="1"/>
    <n v="15"/>
    <x v="0"/>
    <s v="Yes"/>
    <n v="30"/>
    <s v="Yes"/>
    <n v="20"/>
    <x v="0"/>
    <x v="3"/>
    <x v="0"/>
    <n v="62"/>
  </r>
  <r>
    <n v="3252"/>
    <s v="Henrique Dias"/>
    <x v="2"/>
    <d v="2024-03-18T00:00:00"/>
    <x v="0"/>
    <n v="10"/>
    <x v="2"/>
    <s v="No"/>
    <s v="-"/>
    <s v="Yes"/>
    <n v="20"/>
    <x v="1"/>
    <x v="6"/>
    <x v="0"/>
    <n v="15"/>
  </r>
  <r>
    <n v="3253"/>
    <s v="Isabela Moreira"/>
    <x v="1"/>
    <d v="2024-03-19T00:00:00"/>
    <x v="1"/>
    <n v="5"/>
    <x v="0"/>
    <s v="No"/>
    <s v="-"/>
    <s v="No"/>
    <n v="0"/>
    <x v="1"/>
    <x v="4"/>
    <x v="0"/>
    <n v="4"/>
  </r>
  <r>
    <n v="3254"/>
    <s v="Joaquim Barbosa"/>
    <x v="0"/>
    <d v="2024-03-20T00:00:00"/>
    <x v="0"/>
    <n v="15"/>
    <x v="1"/>
    <s v="Yes"/>
    <n v="30"/>
    <s v="Yes"/>
    <n v="20"/>
    <x v="0"/>
    <x v="7"/>
    <x v="0"/>
    <n v="45"/>
  </r>
  <r>
    <n v="3255"/>
    <s v="Lara Rocha"/>
    <x v="2"/>
    <d v="2024-03-21T00:00:00"/>
    <x v="1"/>
    <n v="10"/>
    <x v="0"/>
    <s v="No"/>
    <s v="-"/>
    <s v="Yes"/>
    <n v="20"/>
    <x v="1"/>
    <x v="2"/>
    <x v="0"/>
    <n v="20"/>
  </r>
  <r>
    <n v="3256"/>
    <s v="Matheus Silva"/>
    <x v="1"/>
    <d v="2024-03-22T00:00:00"/>
    <x v="0"/>
    <n v="5"/>
    <x v="2"/>
    <s v="No"/>
    <s v="-"/>
    <s v="No"/>
    <n v="0"/>
    <x v="1"/>
    <x v="1"/>
    <x v="1"/>
    <n v="5"/>
  </r>
  <r>
    <n v="3257"/>
    <s v="Nicole Costa"/>
    <x v="0"/>
    <d v="2024-03-23T00:00:00"/>
    <x v="1"/>
    <n v="15"/>
    <x v="0"/>
    <s v="Yes"/>
    <n v="30"/>
    <s v="Yes"/>
    <n v="20"/>
    <x v="0"/>
    <x v="0"/>
    <x v="0"/>
    <n v="60"/>
  </r>
  <r>
    <n v="3258"/>
    <s v="Otávio Mendonça"/>
    <x v="2"/>
    <d v="2024-03-24T00:00:00"/>
    <x v="0"/>
    <n v="10"/>
    <x v="1"/>
    <s v="No"/>
    <s v="-"/>
    <s v="Yes"/>
    <n v="20"/>
    <x v="1"/>
    <x v="6"/>
    <x v="0"/>
    <n v="15"/>
  </r>
  <r>
    <n v="3259"/>
    <s v="Paula Ferreira"/>
    <x v="1"/>
    <d v="2024-03-25T00:00:00"/>
    <x v="1"/>
    <n v="5"/>
    <x v="0"/>
    <s v="No"/>
    <s v="-"/>
    <s v="No"/>
    <n v="0"/>
    <x v="1"/>
    <x v="4"/>
    <x v="0"/>
    <n v="4"/>
  </r>
  <r>
    <n v="3260"/>
    <s v="Raquel Alves"/>
    <x v="0"/>
    <d v="2024-03-26T00:00:00"/>
    <x v="0"/>
    <n v="15"/>
    <x v="2"/>
    <s v="Yes"/>
    <n v="30"/>
    <s v="Yes"/>
    <n v="20"/>
    <x v="0"/>
    <x v="10"/>
    <x v="0"/>
    <n v="58"/>
  </r>
  <r>
    <n v="3261"/>
    <s v="Samuel Pires"/>
    <x v="2"/>
    <d v="2024-03-27T00:00:00"/>
    <x v="1"/>
    <n v="10"/>
    <x v="0"/>
    <s v="No"/>
    <s v="-"/>
    <s v="Yes"/>
    <n v="20"/>
    <x v="1"/>
    <x v="2"/>
    <x v="0"/>
    <n v="20"/>
  </r>
  <r>
    <n v="3262"/>
    <s v="Tânia Barros"/>
    <x v="1"/>
    <d v="2024-03-28T00:00:00"/>
    <x v="0"/>
    <n v="5"/>
    <x v="1"/>
    <s v="No"/>
    <s v="-"/>
    <s v="No"/>
    <n v="0"/>
    <x v="1"/>
    <x v="1"/>
    <x v="1"/>
    <n v="5"/>
  </r>
  <r>
    <n v="3263"/>
    <s v="Vinicius Lima"/>
    <x v="0"/>
    <d v="2024-03-29T00:00:00"/>
    <x v="1"/>
    <n v="15"/>
    <x v="0"/>
    <s v="Yes"/>
    <n v="30"/>
    <s v="Yes"/>
    <n v="20"/>
    <x v="0"/>
    <x v="3"/>
    <x v="0"/>
    <n v="62"/>
  </r>
  <r>
    <n v="3264"/>
    <s v="Yasmin Teixeira"/>
    <x v="2"/>
    <d v="2024-03-30T00:00:00"/>
    <x v="0"/>
    <n v="10"/>
    <x v="2"/>
    <s v="No"/>
    <s v="-"/>
    <s v="Yes"/>
    <n v="20"/>
    <x v="1"/>
    <x v="6"/>
    <x v="0"/>
    <n v="15"/>
  </r>
  <r>
    <n v="3265"/>
    <s v="Zé Carlos"/>
    <x v="1"/>
    <d v="2024-03-31T00:00:00"/>
    <x v="1"/>
    <n v="5"/>
    <x v="0"/>
    <s v="No"/>
    <s v="-"/>
    <s v="No"/>
    <n v="0"/>
    <x v="1"/>
    <x v="4"/>
    <x v="0"/>
    <n v="4"/>
  </r>
  <r>
    <n v="3266"/>
    <s v="Amanda Nogueira"/>
    <x v="1"/>
    <d v="2024-04-01T00:00:00"/>
    <x v="0"/>
    <n v="5"/>
    <x v="0"/>
    <s v="No"/>
    <s v="-"/>
    <s v="No"/>
    <n v="0"/>
    <x v="1"/>
    <x v="1"/>
    <x v="1"/>
    <n v="5"/>
  </r>
  <r>
    <n v="3267"/>
    <s v="Bruno Cavalheiro"/>
    <x v="0"/>
    <d v="2024-04-02T00:00:00"/>
    <x v="1"/>
    <n v="15"/>
    <x v="2"/>
    <s v="Yes"/>
    <n v="30"/>
    <s v="Yes"/>
    <n v="20"/>
    <x v="0"/>
    <x v="10"/>
    <x v="0"/>
    <n v="58"/>
  </r>
  <r>
    <n v="3268"/>
    <s v="Carla Dias"/>
    <x v="2"/>
    <d v="2024-04-03T00:00:00"/>
    <x v="0"/>
    <n v="10"/>
    <x v="1"/>
    <s v="No"/>
    <s v="-"/>
    <s v="Yes"/>
    <n v="20"/>
    <x v="1"/>
    <x v="2"/>
    <x v="0"/>
    <n v="20"/>
  </r>
  <r>
    <n v="3269"/>
    <s v="Diego Fontes"/>
    <x v="1"/>
    <d v="2024-04-04T00:00:00"/>
    <x v="1"/>
    <n v="5"/>
    <x v="2"/>
    <s v="No"/>
    <s v="-"/>
    <s v="No"/>
    <n v="0"/>
    <x v="1"/>
    <x v="4"/>
    <x v="0"/>
    <n v="4"/>
  </r>
  <r>
    <n v="3270"/>
    <s v="Eunice Lima"/>
    <x v="0"/>
    <d v="2024-04-05T00:00:00"/>
    <x v="0"/>
    <n v="15"/>
    <x v="0"/>
    <s v="Yes"/>
    <n v="30"/>
    <s v="Yes"/>
    <n v="20"/>
    <x v="0"/>
    <x v="6"/>
    <x v="0"/>
    <n v="50"/>
  </r>
  <r>
    <n v="3271"/>
    <s v="Fábio Martins"/>
    <x v="2"/>
    <d v="2024-04-06T00:00:00"/>
    <x v="1"/>
    <n v="10"/>
    <x v="0"/>
    <s v="No"/>
    <s v="-"/>
    <s v="Yes"/>
    <n v="20"/>
    <x v="1"/>
    <x v="0"/>
    <x v="0"/>
    <n v="25"/>
  </r>
  <r>
    <n v="3272"/>
    <s v="Gisele Araújo"/>
    <x v="1"/>
    <d v="2024-04-07T00:00:00"/>
    <x v="0"/>
    <n v="5"/>
    <x v="1"/>
    <s v="No"/>
    <s v="-"/>
    <s v="No"/>
    <n v="0"/>
    <x v="1"/>
    <x v="1"/>
    <x v="1"/>
    <n v="5"/>
  </r>
  <r>
    <n v="3273"/>
    <s v="Hélio Castro"/>
    <x v="0"/>
    <d v="2024-04-08T00:00:00"/>
    <x v="1"/>
    <n v="15"/>
    <x v="2"/>
    <s v="Yes"/>
    <n v="30"/>
    <s v="Yes"/>
    <n v="20"/>
    <x v="0"/>
    <x v="7"/>
    <x v="0"/>
    <n v="45"/>
  </r>
  <r>
    <n v="3274"/>
    <s v="Ingrid Menezes"/>
    <x v="2"/>
    <d v="2024-04-09T00:00:00"/>
    <x v="0"/>
    <n v="10"/>
    <x v="2"/>
    <s v="No"/>
    <s v="-"/>
    <s v="Yes"/>
    <n v="20"/>
    <x v="1"/>
    <x v="9"/>
    <x v="0"/>
    <n v="18"/>
  </r>
  <r>
    <n v="3275"/>
    <s v="Jorge Baptista"/>
    <x v="1"/>
    <d v="2024-04-10T00:00:00"/>
    <x v="1"/>
    <n v="5"/>
    <x v="0"/>
    <s v="No"/>
    <s v="-"/>
    <s v="No"/>
    <n v="0"/>
    <x v="1"/>
    <x v="5"/>
    <x v="0"/>
    <n v="3"/>
  </r>
  <r>
    <n v="3276"/>
    <s v="Kléber Oliveira"/>
    <x v="0"/>
    <d v="2024-04-11T00:00:00"/>
    <x v="0"/>
    <n v="15"/>
    <x v="1"/>
    <s v="Yes"/>
    <n v="30"/>
    <s v="Yes"/>
    <n v="20"/>
    <x v="0"/>
    <x v="0"/>
    <x v="0"/>
    <n v="60"/>
  </r>
  <r>
    <n v="3277"/>
    <s v="Luciana Freitas"/>
    <x v="2"/>
    <d v="2024-04-12T00:00:00"/>
    <x v="1"/>
    <n v="10"/>
    <x v="0"/>
    <s v="No"/>
    <s v="-"/>
    <s v="Yes"/>
    <n v="20"/>
    <x v="1"/>
    <x v="2"/>
    <x v="0"/>
    <n v="20"/>
  </r>
  <r>
    <n v="3278"/>
    <s v="Márcia Eller"/>
    <x v="1"/>
    <d v="2024-04-13T00:00:00"/>
    <x v="0"/>
    <n v="5"/>
    <x v="2"/>
    <s v="No"/>
    <s v="-"/>
    <s v="No"/>
    <n v="0"/>
    <x v="1"/>
    <x v="1"/>
    <x v="1"/>
    <n v="5"/>
  </r>
  <r>
    <n v="3279"/>
    <s v="Nilo Peçanha"/>
    <x v="0"/>
    <d v="2024-04-14T00:00:00"/>
    <x v="1"/>
    <n v="15"/>
    <x v="0"/>
    <s v="Yes"/>
    <n v="30"/>
    <s v="Yes"/>
    <n v="20"/>
    <x v="0"/>
    <x v="3"/>
    <x v="0"/>
    <n v="62"/>
  </r>
  <r>
    <n v="3280"/>
    <s v="Oscar Neves"/>
    <x v="2"/>
    <d v="2024-04-15T00:00:00"/>
    <x v="0"/>
    <n v="10"/>
    <x v="1"/>
    <s v="No"/>
    <s v="-"/>
    <s v="Yes"/>
    <n v="20"/>
    <x v="1"/>
    <x v="6"/>
    <x v="0"/>
    <n v="15"/>
  </r>
  <r>
    <n v="3281"/>
    <s v="Patrícia Soares"/>
    <x v="1"/>
    <d v="2024-04-16T00:00:00"/>
    <x v="1"/>
    <n v="5"/>
    <x v="0"/>
    <s v="No"/>
    <s v="-"/>
    <s v="No"/>
    <n v="0"/>
    <x v="1"/>
    <x v="4"/>
    <x v="0"/>
    <n v="4"/>
  </r>
  <r>
    <n v="3282"/>
    <s v="Quirino Gonçalves"/>
    <x v="0"/>
    <d v="2024-04-17T00:00:00"/>
    <x v="0"/>
    <n v="15"/>
    <x v="2"/>
    <s v="Yes"/>
    <n v="30"/>
    <s v="Yes"/>
    <n v="20"/>
    <x v="0"/>
    <x v="10"/>
    <x v="0"/>
    <n v="58"/>
  </r>
  <r>
    <n v="3283"/>
    <s v="Raul Machado"/>
    <x v="2"/>
    <d v="2024-04-18T00:00:00"/>
    <x v="1"/>
    <n v="10"/>
    <x v="0"/>
    <s v="No"/>
    <s v="-"/>
    <s v="Yes"/>
    <n v="20"/>
    <x v="1"/>
    <x v="2"/>
    <x v="0"/>
    <n v="20"/>
  </r>
  <r>
    <n v="3284"/>
    <s v="Sônia Lobo"/>
    <x v="1"/>
    <d v="2024-04-19T00:00:00"/>
    <x v="0"/>
    <n v="5"/>
    <x v="1"/>
    <s v="No"/>
    <s v="-"/>
    <s v="No"/>
    <n v="0"/>
    <x v="1"/>
    <x v="1"/>
    <x v="1"/>
    <n v="5"/>
  </r>
  <r>
    <n v="3285"/>
    <s v="Tiago Ramos"/>
    <x v="0"/>
    <d v="2024-04-20T00:00:00"/>
    <x v="1"/>
    <n v="15"/>
    <x v="0"/>
    <s v="Yes"/>
    <n v="30"/>
    <s v="Yes"/>
    <n v="20"/>
    <x v="0"/>
    <x v="7"/>
    <x v="0"/>
    <n v="45"/>
  </r>
  <r>
    <n v="3286"/>
    <s v="Ugo Pires"/>
    <x v="2"/>
    <d v="2024-04-21T00:00:00"/>
    <x v="0"/>
    <n v="10"/>
    <x v="2"/>
    <s v="No"/>
    <s v="-"/>
    <s v="Yes"/>
    <n v="20"/>
    <x v="1"/>
    <x v="6"/>
    <x v="0"/>
    <n v="15"/>
  </r>
  <r>
    <n v="3287"/>
    <s v="Valéria Nobre"/>
    <x v="1"/>
    <d v="2024-04-22T00:00:00"/>
    <x v="1"/>
    <n v="5"/>
    <x v="0"/>
    <s v="No"/>
    <s v="-"/>
    <s v="No"/>
    <n v="0"/>
    <x v="1"/>
    <x v="4"/>
    <x v="0"/>
    <n v="4"/>
  </r>
  <r>
    <n v="3288"/>
    <s v="William Siqueira"/>
    <x v="0"/>
    <d v="2024-04-23T00:00:00"/>
    <x v="0"/>
    <n v="15"/>
    <x v="1"/>
    <s v="Yes"/>
    <n v="30"/>
    <s v="Yes"/>
    <n v="20"/>
    <x v="0"/>
    <x v="3"/>
    <x v="0"/>
    <n v="62"/>
  </r>
  <r>
    <n v="3289"/>
    <s v="Xuxa Meneghel"/>
    <x v="2"/>
    <d v="2024-04-24T00:00:00"/>
    <x v="1"/>
    <n v="10"/>
    <x v="0"/>
    <s v="No"/>
    <s v="-"/>
    <s v="Yes"/>
    <n v="20"/>
    <x v="1"/>
    <x v="2"/>
    <x v="0"/>
    <n v="20"/>
  </r>
  <r>
    <n v="3290"/>
    <s v="Yara Figueiredo"/>
    <x v="1"/>
    <d v="2024-04-25T00:00:00"/>
    <x v="0"/>
    <n v="5"/>
    <x v="2"/>
    <s v="No"/>
    <s v="-"/>
    <s v="No"/>
    <n v="0"/>
    <x v="1"/>
    <x v="1"/>
    <x v="1"/>
    <n v="5"/>
  </r>
  <r>
    <n v="3291"/>
    <s v="Zacarias Alves"/>
    <x v="0"/>
    <d v="2024-04-26T00:00:00"/>
    <x v="1"/>
    <n v="15"/>
    <x v="0"/>
    <s v="Yes"/>
    <n v="30"/>
    <s v="Yes"/>
    <n v="20"/>
    <x v="0"/>
    <x v="0"/>
    <x v="0"/>
    <n v="60"/>
  </r>
  <r>
    <n v="3292"/>
    <s v="Amanda Bynes"/>
    <x v="2"/>
    <d v="2024-04-27T00:00:00"/>
    <x v="0"/>
    <n v="10"/>
    <x v="1"/>
    <s v="No"/>
    <s v="-"/>
    <s v="Yes"/>
    <n v="20"/>
    <x v="1"/>
    <x v="6"/>
    <x v="0"/>
    <n v="15"/>
  </r>
  <r>
    <n v="3293"/>
    <s v="Bruno Mars"/>
    <x v="1"/>
    <d v="2024-04-28T00:00:00"/>
    <x v="1"/>
    <n v="5"/>
    <x v="0"/>
    <s v="No"/>
    <s v="-"/>
    <s v="No"/>
    <n v="0"/>
    <x v="1"/>
    <x v="4"/>
    <x v="0"/>
    <n v="4"/>
  </r>
  <r>
    <n v="3294"/>
    <s v="Carla Bruni"/>
    <x v="0"/>
    <d v="2024-04-29T00:00:00"/>
    <x v="0"/>
    <n v="15"/>
    <x v="2"/>
    <s v="Yes"/>
    <n v="30"/>
    <s v="Yes"/>
    <n v="20"/>
    <x v="0"/>
    <x v="7"/>
    <x v="0"/>
    <n v="45"/>
  </r>
  <r>
    <n v="3295"/>
    <s v="Diego Maradona"/>
    <x v="2"/>
    <d v="2024-04-30T00:00:00"/>
    <x v="1"/>
    <n v="10"/>
    <x v="0"/>
    <s v="No"/>
    <s v="-"/>
    <s v="Yes"/>
    <n v="20"/>
    <x v="1"/>
    <x v="0"/>
    <x v="0"/>
    <n v="25"/>
  </r>
  <r>
    <n v="3296"/>
    <s v="Estela Marques"/>
    <x v="1"/>
    <d v="2024-05-01T00:00:00"/>
    <x v="1"/>
    <n v="5"/>
    <x v="0"/>
    <s v="No"/>
    <s v="-"/>
    <s v="No"/>
    <n v="0"/>
    <x v="1"/>
    <x v="1"/>
    <x v="1"/>
    <n v="5"/>
  </r>
  <r>
    <n v="3297"/>
    <s v="Fábio Nobre"/>
    <x v="0"/>
    <d v="2024-05-02T00:00:00"/>
    <x v="0"/>
    <n v="15"/>
    <x v="2"/>
    <s v="Yes"/>
    <n v="30"/>
    <s v="Yes"/>
    <n v="20"/>
    <x v="0"/>
    <x v="10"/>
    <x v="0"/>
    <n v="58"/>
  </r>
  <r>
    <n v="3298"/>
    <s v="Gabriel Oliveira"/>
    <x v="2"/>
    <d v="2024-05-03T00:00:00"/>
    <x v="1"/>
    <n v="10"/>
    <x v="1"/>
    <s v="No"/>
    <s v="-"/>
    <s v="Yes"/>
    <n v="20"/>
    <x v="1"/>
    <x v="2"/>
    <x v="0"/>
    <n v="20"/>
  </r>
  <r>
    <n v="3299"/>
    <s v="Helena Santos"/>
    <x v="1"/>
    <d v="2024-05-04T00:00:00"/>
    <x v="0"/>
    <n v="5"/>
    <x v="2"/>
    <s v="No"/>
    <s v="-"/>
    <s v="No"/>
    <n v="0"/>
    <x v="1"/>
    <x v="4"/>
    <x v="0"/>
    <n v="4"/>
  </r>
  <r>
    <n v="3300"/>
    <s v="Ivan Carvalho"/>
    <x v="0"/>
    <d v="2024-05-05T00:00:00"/>
    <x v="1"/>
    <n v="15"/>
    <x v="0"/>
    <s v="Yes"/>
    <n v="30"/>
    <s v="Yes"/>
    <n v="20"/>
    <x v="0"/>
    <x v="6"/>
    <x v="0"/>
    <n v="50"/>
  </r>
  <r>
    <n v="3301"/>
    <s v="Júlia Ferreira"/>
    <x v="2"/>
    <d v="2024-05-06T00:00:00"/>
    <x v="0"/>
    <n v="10"/>
    <x v="0"/>
    <s v="No"/>
    <s v="-"/>
    <s v="Yes"/>
    <n v="20"/>
    <x v="1"/>
    <x v="0"/>
    <x v="0"/>
    <n v="25"/>
  </r>
  <r>
    <n v="3302"/>
    <s v="Karla Alves"/>
    <x v="1"/>
    <d v="2024-05-07T00:00:00"/>
    <x v="1"/>
    <n v="5"/>
    <x v="1"/>
    <s v="No"/>
    <s v="-"/>
    <s v="No"/>
    <n v="0"/>
    <x v="1"/>
    <x v="1"/>
    <x v="1"/>
    <n v="5"/>
  </r>
  <r>
    <n v="3303"/>
    <s v="Lucas Mendes"/>
    <x v="0"/>
    <d v="2024-05-08T00:00:00"/>
    <x v="0"/>
    <n v="15"/>
    <x v="2"/>
    <s v="Yes"/>
    <n v="30"/>
    <s v="Yes"/>
    <n v="20"/>
    <x v="0"/>
    <x v="7"/>
    <x v="0"/>
    <n v="45"/>
  </r>
  <r>
    <n v="3304"/>
    <s v="Mônica Gomes"/>
    <x v="2"/>
    <d v="2024-05-09T00:00:00"/>
    <x v="1"/>
    <n v="10"/>
    <x v="2"/>
    <s v="No"/>
    <s v="-"/>
    <s v="Yes"/>
    <n v="20"/>
    <x v="1"/>
    <x v="9"/>
    <x v="0"/>
    <n v="18"/>
  </r>
  <r>
    <n v="3305"/>
    <s v="Norberto Queiroz"/>
    <x v="1"/>
    <d v="2024-05-10T00:00:00"/>
    <x v="0"/>
    <n v="5"/>
    <x v="0"/>
    <s v="No"/>
    <s v="-"/>
    <s v="No"/>
    <n v="0"/>
    <x v="1"/>
    <x v="5"/>
    <x v="0"/>
    <n v="3"/>
  </r>
  <r>
    <n v="3306"/>
    <s v="Otávio Barros"/>
    <x v="0"/>
    <d v="2024-05-11T00:00:00"/>
    <x v="1"/>
    <n v="15"/>
    <x v="1"/>
    <s v="Yes"/>
    <n v="30"/>
    <s v="Yes"/>
    <n v="20"/>
    <x v="0"/>
    <x v="0"/>
    <x v="0"/>
    <n v="60"/>
  </r>
  <r>
    <n v="3307"/>
    <s v="Paula Vieira"/>
    <x v="2"/>
    <d v="2024-05-12T00:00:00"/>
    <x v="0"/>
    <n v="10"/>
    <x v="0"/>
    <s v="No"/>
    <s v="-"/>
    <s v="Yes"/>
    <n v="20"/>
    <x v="1"/>
    <x v="2"/>
    <x v="0"/>
    <n v="20"/>
  </r>
  <r>
    <n v="3308"/>
    <s v="Quentin Ramos"/>
    <x v="1"/>
    <d v="2024-05-13T00:00:00"/>
    <x v="1"/>
    <n v="5"/>
    <x v="2"/>
    <s v="No"/>
    <s v="-"/>
    <s v="No"/>
    <n v="0"/>
    <x v="1"/>
    <x v="1"/>
    <x v="1"/>
    <n v="5"/>
  </r>
  <r>
    <n v="3309"/>
    <s v="Raquel Novaes"/>
    <x v="0"/>
    <d v="2024-05-14T00:00:00"/>
    <x v="0"/>
    <n v="15"/>
    <x v="0"/>
    <s v="Yes"/>
    <n v="30"/>
    <s v="Yes"/>
    <n v="20"/>
    <x v="0"/>
    <x v="3"/>
    <x v="0"/>
    <n v="62"/>
  </r>
  <r>
    <n v="3310"/>
    <s v="Samantha Lopes"/>
    <x v="2"/>
    <d v="2024-05-15T00:00:00"/>
    <x v="1"/>
    <n v="10"/>
    <x v="1"/>
    <s v="No"/>
    <s v="-"/>
    <s v="Yes"/>
    <n v="20"/>
    <x v="1"/>
    <x v="6"/>
    <x v="0"/>
    <n v="15"/>
  </r>
  <r>
    <n v="3311"/>
    <s v="Tiago Martins"/>
    <x v="1"/>
    <d v="2024-05-16T00:00:00"/>
    <x v="0"/>
    <n v="5"/>
    <x v="0"/>
    <s v="No"/>
    <s v="-"/>
    <s v="No"/>
    <n v="0"/>
    <x v="1"/>
    <x v="4"/>
    <x v="0"/>
    <n v="4"/>
  </r>
  <r>
    <n v="3312"/>
    <s v="Ulysses Guimarães"/>
    <x v="0"/>
    <d v="2024-05-17T00:00:00"/>
    <x v="1"/>
    <n v="15"/>
    <x v="2"/>
    <s v="Yes"/>
    <n v="30"/>
    <s v="Yes"/>
    <n v="20"/>
    <x v="0"/>
    <x v="10"/>
    <x v="0"/>
    <n v="58"/>
  </r>
  <r>
    <n v="3313"/>
    <s v="Vanessa Silva"/>
    <x v="2"/>
    <d v="2024-05-18T00:00:00"/>
    <x v="0"/>
    <n v="10"/>
    <x v="0"/>
    <s v="No"/>
    <s v="-"/>
    <s v="Yes"/>
    <n v="20"/>
    <x v="1"/>
    <x v="2"/>
    <x v="0"/>
    <n v="20"/>
  </r>
  <r>
    <n v="3314"/>
    <s v="William Carneiro"/>
    <x v="1"/>
    <d v="2024-05-19T00:00:00"/>
    <x v="1"/>
    <n v="5"/>
    <x v="1"/>
    <s v="No"/>
    <s v="-"/>
    <s v="No"/>
    <n v="0"/>
    <x v="1"/>
    <x v="1"/>
    <x v="1"/>
    <n v="5"/>
  </r>
  <r>
    <n v="3315"/>
    <s v="Ximena Rocha"/>
    <x v="0"/>
    <d v="2024-05-20T00:00:00"/>
    <x v="0"/>
    <n v="15"/>
    <x v="0"/>
    <s v="Yes"/>
    <n v="30"/>
    <s v="Yes"/>
    <n v="20"/>
    <x v="0"/>
    <x v="7"/>
    <x v="0"/>
    <n v="45"/>
  </r>
  <r>
    <n v="3316"/>
    <s v="Yasmin Figueiredo"/>
    <x v="2"/>
    <d v="2024-05-21T00:00:00"/>
    <x v="1"/>
    <n v="10"/>
    <x v="2"/>
    <s v="No"/>
    <s v="-"/>
    <s v="Yes"/>
    <n v="20"/>
    <x v="1"/>
    <x v="6"/>
    <x v="0"/>
    <n v="15"/>
  </r>
  <r>
    <n v="3317"/>
    <s v="Zara Cunha"/>
    <x v="1"/>
    <d v="2024-05-22T00:00:00"/>
    <x v="0"/>
    <n v="5"/>
    <x v="0"/>
    <s v="No"/>
    <s v="-"/>
    <s v="No"/>
    <n v="0"/>
    <x v="1"/>
    <x v="4"/>
    <x v="0"/>
    <n v="4"/>
  </r>
  <r>
    <n v="3318"/>
    <s v="Alan Teixeira"/>
    <x v="0"/>
    <d v="2024-05-23T00:00:00"/>
    <x v="1"/>
    <n v="15"/>
    <x v="1"/>
    <s v="Yes"/>
    <n v="30"/>
    <s v="Yes"/>
    <n v="20"/>
    <x v="0"/>
    <x v="3"/>
    <x v="0"/>
    <n v="62"/>
  </r>
  <r>
    <n v="3319"/>
    <s v="Bárbara Oliveira"/>
    <x v="2"/>
    <d v="2024-05-24T00:00:00"/>
    <x v="0"/>
    <n v="10"/>
    <x v="0"/>
    <s v="No"/>
    <s v="-"/>
    <s v="Yes"/>
    <n v="20"/>
    <x v="1"/>
    <x v="2"/>
    <x v="0"/>
    <n v="20"/>
  </r>
  <r>
    <n v="3320"/>
    <s v="Carlos Junqueira"/>
    <x v="1"/>
    <d v="2024-05-25T00:00:00"/>
    <x v="1"/>
    <n v="5"/>
    <x v="2"/>
    <s v="No"/>
    <s v="-"/>
    <s v="No"/>
    <n v="0"/>
    <x v="1"/>
    <x v="1"/>
    <x v="1"/>
    <n v="5"/>
  </r>
  <r>
    <n v="3321"/>
    <s v="Daniela Moura"/>
    <x v="0"/>
    <d v="2024-05-26T00:00:00"/>
    <x v="0"/>
    <n v="15"/>
    <x v="0"/>
    <s v="Yes"/>
    <n v="30"/>
    <s v="Yes"/>
    <n v="20"/>
    <x v="0"/>
    <x v="0"/>
    <x v="0"/>
    <n v="60"/>
  </r>
  <r>
    <n v="3322"/>
    <s v="Eduardo Lima"/>
    <x v="2"/>
    <d v="2024-05-27T00:00:00"/>
    <x v="1"/>
    <n v="10"/>
    <x v="1"/>
    <s v="No"/>
    <s v="-"/>
    <s v="Yes"/>
    <n v="20"/>
    <x v="1"/>
    <x v="6"/>
    <x v="0"/>
    <n v="15"/>
  </r>
  <r>
    <n v="3323"/>
    <s v="Fabiana Araújo"/>
    <x v="1"/>
    <d v="2024-05-28T00:00:00"/>
    <x v="0"/>
    <n v="5"/>
    <x v="0"/>
    <s v="No"/>
    <s v="-"/>
    <s v="No"/>
    <n v="0"/>
    <x v="1"/>
    <x v="4"/>
    <x v="0"/>
    <n v="4"/>
  </r>
  <r>
    <n v="3324"/>
    <s v="Geraldo Ribeiro"/>
    <x v="0"/>
    <d v="2024-05-29T00:00:00"/>
    <x v="1"/>
    <n v="15"/>
    <x v="2"/>
    <s v="Yes"/>
    <n v="30"/>
    <s v="Yes"/>
    <n v="20"/>
    <x v="0"/>
    <x v="7"/>
    <x v="0"/>
    <n v="45"/>
  </r>
  <r>
    <n v="3325"/>
    <s v="Héctor Vargas"/>
    <x v="2"/>
    <d v="2024-05-30T00:00:00"/>
    <x v="0"/>
    <n v="10"/>
    <x v="2"/>
    <s v="No"/>
    <s v="-"/>
    <s v="Yes"/>
    <n v="20"/>
    <x v="1"/>
    <x v="6"/>
    <x v="0"/>
    <n v="15"/>
  </r>
  <r>
    <n v="3326"/>
    <s v="Isabela Fonseca"/>
    <x v="1"/>
    <d v="2024-05-31T00:00:00"/>
    <x v="1"/>
    <n v="5"/>
    <x v="1"/>
    <s v="No"/>
    <s v="-"/>
    <s v="No"/>
    <n v="0"/>
    <x v="1"/>
    <x v="1"/>
    <x v="1"/>
    <n v="5"/>
  </r>
  <r>
    <n v="3327"/>
    <s v="João Pedro Almeida"/>
    <x v="0"/>
    <d v="2024-06-01T00:00:00"/>
    <x v="0"/>
    <n v="15"/>
    <x v="0"/>
    <s v="Yes"/>
    <n v="30"/>
    <s v="Yes"/>
    <n v="20"/>
    <x v="0"/>
    <x v="10"/>
    <x v="0"/>
    <n v="58"/>
  </r>
  <r>
    <n v="3328"/>
    <s v="Klara Costa"/>
    <x v="2"/>
    <d v="2024-06-02T00:00:00"/>
    <x v="1"/>
    <n v="10"/>
    <x v="1"/>
    <s v="No"/>
    <s v="-"/>
    <s v="Yes"/>
    <n v="20"/>
    <x v="1"/>
    <x v="2"/>
    <x v="0"/>
    <n v="20"/>
  </r>
  <r>
    <n v="3329"/>
    <s v="Luciana Mendes"/>
    <x v="1"/>
    <d v="2024-06-03T00:00:00"/>
    <x v="0"/>
    <n v="5"/>
    <x v="2"/>
    <s v="No"/>
    <s v="-"/>
    <s v="No"/>
    <n v="0"/>
    <x v="1"/>
    <x v="4"/>
    <x v="0"/>
    <n v="4"/>
  </r>
  <r>
    <n v="3330"/>
    <s v="Marcelo Gouveia"/>
    <x v="0"/>
    <d v="2024-06-04T00:00:00"/>
    <x v="1"/>
    <n v="15"/>
    <x v="0"/>
    <s v="Yes"/>
    <n v="30"/>
    <s v="Yes"/>
    <n v="20"/>
    <x v="0"/>
    <x v="6"/>
    <x v="0"/>
    <n v="50"/>
  </r>
  <r>
    <n v="3331"/>
    <s v="Nívea Borges"/>
    <x v="2"/>
    <d v="2024-06-05T00:00:00"/>
    <x v="0"/>
    <n v="10"/>
    <x v="0"/>
    <s v="No"/>
    <s v="-"/>
    <s v="Yes"/>
    <n v="20"/>
    <x v="1"/>
    <x v="0"/>
    <x v="0"/>
    <n v="25"/>
  </r>
  <r>
    <n v="3332"/>
    <s v="Oscar Nogueira"/>
    <x v="1"/>
    <d v="2024-06-06T00:00:00"/>
    <x v="1"/>
    <n v="5"/>
    <x v="1"/>
    <s v="No"/>
    <s v="-"/>
    <s v="No"/>
    <n v="0"/>
    <x v="1"/>
    <x v="1"/>
    <x v="1"/>
    <n v="5"/>
  </r>
  <r>
    <n v="3333"/>
    <s v="Patrícia Alves"/>
    <x v="0"/>
    <d v="2024-06-07T00:00:00"/>
    <x v="0"/>
    <n v="15"/>
    <x v="2"/>
    <s v="Yes"/>
    <n v="30"/>
    <s v="Yes"/>
    <n v="20"/>
    <x v="0"/>
    <x v="7"/>
    <x v="0"/>
    <n v="45"/>
  </r>
  <r>
    <n v="3334"/>
    <s v="Rafaela Silva"/>
    <x v="2"/>
    <d v="2024-06-08T00:00:00"/>
    <x v="1"/>
    <n v="10"/>
    <x v="2"/>
    <s v="No"/>
    <s v="-"/>
    <s v="Yes"/>
    <n v="20"/>
    <x v="1"/>
    <x v="9"/>
    <x v="0"/>
    <n v="18"/>
  </r>
  <r>
    <n v="3335"/>
    <s v="Samantha Moraes"/>
    <x v="1"/>
    <d v="2024-06-09T00:00:00"/>
    <x v="0"/>
    <n v="5"/>
    <x v="0"/>
    <s v="No"/>
    <s v="-"/>
    <s v="No"/>
    <n v="0"/>
    <x v="1"/>
    <x v="5"/>
    <x v="0"/>
    <n v="3"/>
  </r>
  <r>
    <n v="3336"/>
    <s v="Tatiana Rocha"/>
    <x v="1"/>
    <d v="2024-06-10T00:00:00"/>
    <x v="0"/>
    <n v="5"/>
    <x v="0"/>
    <s v="No"/>
    <s v="-"/>
    <s v="No"/>
    <n v="0"/>
    <x v="1"/>
    <x v="1"/>
    <x v="1"/>
    <n v="5"/>
  </r>
  <r>
    <n v="3337"/>
    <s v="Ulisses Tavares"/>
    <x v="0"/>
    <d v="2024-06-11T00:00:00"/>
    <x v="1"/>
    <n v="15"/>
    <x v="2"/>
    <s v="Yes"/>
    <n v="30"/>
    <s v="Yes"/>
    <n v="20"/>
    <x v="0"/>
    <x v="10"/>
    <x v="0"/>
    <n v="58"/>
  </r>
  <r>
    <n v="3338"/>
    <s v="Víctor Lemos"/>
    <x v="2"/>
    <d v="2024-06-12T00:00:00"/>
    <x v="0"/>
    <n v="10"/>
    <x v="1"/>
    <s v="No"/>
    <s v="-"/>
    <s v="Yes"/>
    <n v="20"/>
    <x v="1"/>
    <x v="2"/>
    <x v="0"/>
    <n v="20"/>
  </r>
  <r>
    <n v="3339"/>
    <s v="Wilma Barros"/>
    <x v="1"/>
    <d v="2024-06-13T00:00:00"/>
    <x v="1"/>
    <n v="5"/>
    <x v="2"/>
    <s v="No"/>
    <s v="-"/>
    <s v="No"/>
    <n v="0"/>
    <x v="1"/>
    <x v="4"/>
    <x v="0"/>
    <n v="4"/>
  </r>
  <r>
    <n v="3340"/>
    <s v="Xavier Nascimento"/>
    <x v="0"/>
    <d v="2024-06-14T00:00:00"/>
    <x v="0"/>
    <n v="15"/>
    <x v="0"/>
    <s v="Yes"/>
    <n v="30"/>
    <s v="Yes"/>
    <n v="20"/>
    <x v="0"/>
    <x v="6"/>
    <x v="0"/>
    <n v="50"/>
  </r>
  <r>
    <n v="3341"/>
    <s v="Yago Pereira"/>
    <x v="2"/>
    <d v="2024-06-15T00:00:00"/>
    <x v="1"/>
    <n v="10"/>
    <x v="0"/>
    <s v="No"/>
    <s v="-"/>
    <s v="Yes"/>
    <n v="20"/>
    <x v="1"/>
    <x v="0"/>
    <x v="0"/>
    <n v="25"/>
  </r>
  <r>
    <n v="3342"/>
    <s v="Zilda Ferreira"/>
    <x v="1"/>
    <d v="2024-06-16T00:00:00"/>
    <x v="0"/>
    <n v="5"/>
    <x v="1"/>
    <s v="No"/>
    <s v="-"/>
    <s v="No"/>
    <n v="0"/>
    <x v="1"/>
    <x v="1"/>
    <x v="1"/>
    <n v="5"/>
  </r>
  <r>
    <n v="3343"/>
    <s v="Amanda Lopes"/>
    <x v="0"/>
    <d v="2024-06-17T00:00:00"/>
    <x v="1"/>
    <n v="15"/>
    <x v="2"/>
    <s v="Yes"/>
    <n v="30"/>
    <s v="Yes"/>
    <n v="20"/>
    <x v="0"/>
    <x v="7"/>
    <x v="0"/>
    <n v="45"/>
  </r>
  <r>
    <n v="3344"/>
    <s v="Bruno Miranda"/>
    <x v="2"/>
    <d v="2024-06-18T00:00:00"/>
    <x v="0"/>
    <n v="10"/>
    <x v="2"/>
    <s v="No"/>
    <s v="-"/>
    <s v="Yes"/>
    <n v="20"/>
    <x v="1"/>
    <x v="9"/>
    <x v="0"/>
    <n v="18"/>
  </r>
  <r>
    <n v="3345"/>
    <s v="Célia Torres"/>
    <x v="1"/>
    <d v="2024-06-19T00:00:00"/>
    <x v="1"/>
    <n v="5"/>
    <x v="0"/>
    <s v="No"/>
    <s v="-"/>
    <s v="No"/>
    <n v="0"/>
    <x v="1"/>
    <x v="5"/>
    <x v="0"/>
    <n v="3"/>
  </r>
  <r>
    <n v="3346"/>
    <s v="Diogo Souza"/>
    <x v="0"/>
    <d v="2024-06-20T00:00:00"/>
    <x v="0"/>
    <n v="15"/>
    <x v="1"/>
    <s v="Yes"/>
    <n v="30"/>
    <s v="Yes"/>
    <n v="20"/>
    <x v="0"/>
    <x v="0"/>
    <x v="0"/>
    <n v="60"/>
  </r>
  <r>
    <n v="3347"/>
    <s v="Elisa Castro"/>
    <x v="2"/>
    <d v="2024-06-21T00:00:00"/>
    <x v="1"/>
    <n v="10"/>
    <x v="0"/>
    <s v="No"/>
    <s v="-"/>
    <s v="Yes"/>
    <n v="20"/>
    <x v="1"/>
    <x v="2"/>
    <x v="0"/>
    <n v="20"/>
  </r>
  <r>
    <n v="3348"/>
    <s v="Fátima Lima"/>
    <x v="1"/>
    <d v="2024-06-22T00:00:00"/>
    <x v="0"/>
    <n v="5"/>
    <x v="2"/>
    <s v="No"/>
    <s v="-"/>
    <s v="No"/>
    <n v="0"/>
    <x v="1"/>
    <x v="1"/>
    <x v="1"/>
    <n v="5"/>
  </r>
  <r>
    <n v="3349"/>
    <s v="Geraldo Ribeiro"/>
    <x v="0"/>
    <d v="2024-06-23T00:00:00"/>
    <x v="1"/>
    <n v="15"/>
    <x v="0"/>
    <s v="Yes"/>
    <n v="30"/>
    <s v="Yes"/>
    <n v="20"/>
    <x v="0"/>
    <x v="3"/>
    <x v="0"/>
    <n v="62"/>
  </r>
  <r>
    <n v="3350"/>
    <s v="Hélio Martins"/>
    <x v="2"/>
    <d v="2024-06-24T00:00:00"/>
    <x v="0"/>
    <n v="10"/>
    <x v="1"/>
    <s v="No"/>
    <s v="-"/>
    <s v="Yes"/>
    <n v="20"/>
    <x v="1"/>
    <x v="6"/>
    <x v="0"/>
    <n v="15"/>
  </r>
  <r>
    <n v="3351"/>
    <s v="Íris Santos"/>
    <x v="1"/>
    <d v="2024-06-25T00:00:00"/>
    <x v="1"/>
    <n v="5"/>
    <x v="0"/>
    <s v="No"/>
    <s v="-"/>
    <s v="No"/>
    <n v="0"/>
    <x v="1"/>
    <x v="4"/>
    <x v="0"/>
    <n v="4"/>
  </r>
  <r>
    <n v="3352"/>
    <s v="João Marcelo"/>
    <x v="0"/>
    <d v="2024-06-26T00:00:00"/>
    <x v="0"/>
    <n v="15"/>
    <x v="2"/>
    <s v="Yes"/>
    <n v="30"/>
    <s v="Yes"/>
    <n v="20"/>
    <x v="0"/>
    <x v="10"/>
    <x v="0"/>
    <n v="58"/>
  </r>
  <r>
    <n v="3353"/>
    <s v="Larissa Gomes"/>
    <x v="2"/>
    <d v="2024-06-27T00:00:00"/>
    <x v="1"/>
    <n v="10"/>
    <x v="0"/>
    <s v="No"/>
    <s v="-"/>
    <s v="Yes"/>
    <n v="20"/>
    <x v="1"/>
    <x v="2"/>
    <x v="0"/>
    <n v="20"/>
  </r>
  <r>
    <n v="3354"/>
    <s v="Márcio Silva"/>
    <x v="1"/>
    <d v="2024-06-28T00:00:00"/>
    <x v="0"/>
    <n v="5"/>
    <x v="1"/>
    <s v="No"/>
    <s v="-"/>
    <s v="No"/>
    <n v="0"/>
    <x v="1"/>
    <x v="1"/>
    <x v="1"/>
    <n v="5"/>
  </r>
  <r>
    <n v="3355"/>
    <s v="Nadia Costa"/>
    <x v="0"/>
    <d v="2024-06-29T00:00:00"/>
    <x v="1"/>
    <n v="15"/>
    <x v="0"/>
    <s v="Yes"/>
    <n v="30"/>
    <s v="Yes"/>
    <n v="20"/>
    <x v="0"/>
    <x v="7"/>
    <x v="0"/>
    <n v="45"/>
  </r>
  <r>
    <n v="3356"/>
    <s v="Oscar Almeida"/>
    <x v="2"/>
    <d v="2024-06-30T00:00:00"/>
    <x v="0"/>
    <n v="10"/>
    <x v="2"/>
    <s v="No"/>
    <s v="-"/>
    <s v="Yes"/>
    <n v="20"/>
    <x v="1"/>
    <x v="6"/>
    <x v="0"/>
    <n v="15"/>
  </r>
  <r>
    <n v="3357"/>
    <s v="Patricia Soares"/>
    <x v="1"/>
    <d v="2024-07-01T00:00:00"/>
    <x v="1"/>
    <n v="5"/>
    <x v="0"/>
    <s v="No"/>
    <s v="-"/>
    <s v="No"/>
    <n v="0"/>
    <x v="1"/>
    <x v="4"/>
    <x v="0"/>
    <n v="4"/>
  </r>
  <r>
    <n v="3358"/>
    <s v="Quênia Barros"/>
    <x v="0"/>
    <d v="2024-07-02T00:00:00"/>
    <x v="0"/>
    <n v="15"/>
    <x v="1"/>
    <s v="Yes"/>
    <n v="30"/>
    <s v="Yes"/>
    <n v="20"/>
    <x v="0"/>
    <x v="3"/>
    <x v="0"/>
    <n v="62"/>
  </r>
  <r>
    <n v="3359"/>
    <s v="Rafael Torres"/>
    <x v="2"/>
    <d v="2024-07-03T00:00:00"/>
    <x v="1"/>
    <n v="10"/>
    <x v="0"/>
    <s v="No"/>
    <s v="-"/>
    <s v="Yes"/>
    <n v="20"/>
    <x v="1"/>
    <x v="2"/>
    <x v="0"/>
    <n v="20"/>
  </r>
  <r>
    <n v="3360"/>
    <s v="Silvia Nascimento"/>
    <x v="1"/>
    <d v="2024-07-04T00:00:00"/>
    <x v="0"/>
    <n v="5"/>
    <x v="2"/>
    <s v="No"/>
    <s v="-"/>
    <s v="No"/>
    <n v="0"/>
    <x v="1"/>
    <x v="1"/>
    <x v="1"/>
    <n v="5"/>
  </r>
  <r>
    <n v="3361"/>
    <s v="Tiago Mendes"/>
    <x v="0"/>
    <d v="2024-07-05T00:00:00"/>
    <x v="1"/>
    <n v="15"/>
    <x v="0"/>
    <s v="Yes"/>
    <n v="30"/>
    <s v="Yes"/>
    <n v="20"/>
    <x v="0"/>
    <x v="6"/>
    <x v="0"/>
    <n v="50"/>
  </r>
  <r>
    <n v="3362"/>
    <s v="Ursula Silva"/>
    <x v="2"/>
    <d v="2024-07-06T00:00:00"/>
    <x v="0"/>
    <n v="10"/>
    <x v="1"/>
    <s v="No"/>
    <s v="-"/>
    <s v="Yes"/>
    <n v="20"/>
    <x v="1"/>
    <x v="6"/>
    <x v="0"/>
    <n v="15"/>
  </r>
  <r>
    <n v="3363"/>
    <s v="Vanessa Moraes"/>
    <x v="1"/>
    <d v="2024-07-07T00:00:00"/>
    <x v="1"/>
    <n v="5"/>
    <x v="0"/>
    <s v="No"/>
    <s v="-"/>
    <s v="No"/>
    <n v="0"/>
    <x v="1"/>
    <x v="4"/>
    <x v="0"/>
    <n v="4"/>
  </r>
  <r>
    <n v="3364"/>
    <s v="Waldir Junior"/>
    <x v="0"/>
    <d v="2024-07-08T00:00:00"/>
    <x v="0"/>
    <n v="15"/>
    <x v="2"/>
    <s v="Yes"/>
    <n v="30"/>
    <s v="Yes"/>
    <n v="20"/>
    <x v="0"/>
    <x v="10"/>
    <x v="0"/>
    <n v="58"/>
  </r>
  <r>
    <n v="3365"/>
    <s v="Xavier Lopes"/>
    <x v="2"/>
    <d v="2024-07-09T00:00:00"/>
    <x v="1"/>
    <n v="10"/>
    <x v="0"/>
    <s v="No"/>
    <s v="-"/>
    <s v="Yes"/>
    <n v="20"/>
    <x v="1"/>
    <x v="2"/>
    <x v="0"/>
    <n v="20"/>
  </r>
  <r>
    <n v="3366"/>
    <s v="Yolanda Freitas"/>
    <x v="1"/>
    <d v="2024-07-10T00:00:00"/>
    <x v="0"/>
    <n v="5"/>
    <x v="0"/>
    <s v="No"/>
    <s v="-"/>
    <s v="No"/>
    <n v="0"/>
    <x v="1"/>
    <x v="1"/>
    <x v="1"/>
    <n v="5"/>
  </r>
  <r>
    <n v="3367"/>
    <s v="Zacarias Nunes"/>
    <x v="0"/>
    <d v="2024-07-11T00:00:00"/>
    <x v="1"/>
    <n v="15"/>
    <x v="2"/>
    <s v="Yes"/>
    <n v="30"/>
    <s v="Yes"/>
    <n v="20"/>
    <x v="0"/>
    <x v="10"/>
    <x v="0"/>
    <n v="58"/>
  </r>
  <r>
    <n v="3368"/>
    <s v="Ana Clara Barreto"/>
    <x v="2"/>
    <d v="2024-07-12T00:00:00"/>
    <x v="0"/>
    <n v="10"/>
    <x v="1"/>
    <s v="No"/>
    <s v="-"/>
    <s v="Yes"/>
    <n v="20"/>
    <x v="1"/>
    <x v="2"/>
    <x v="0"/>
    <n v="20"/>
  </r>
  <r>
    <n v="3369"/>
    <s v="Bruno Henrique"/>
    <x v="1"/>
    <d v="2024-07-13T00:00:00"/>
    <x v="1"/>
    <n v="5"/>
    <x v="2"/>
    <s v="No"/>
    <s v="-"/>
    <s v="No"/>
    <n v="0"/>
    <x v="1"/>
    <x v="4"/>
    <x v="0"/>
    <n v="4"/>
  </r>
  <r>
    <n v="3370"/>
    <s v="Carlos Eduardo"/>
    <x v="0"/>
    <d v="2024-07-14T00:00:00"/>
    <x v="0"/>
    <n v="15"/>
    <x v="0"/>
    <s v="Yes"/>
    <n v="30"/>
    <s v="Yes"/>
    <n v="20"/>
    <x v="0"/>
    <x v="6"/>
    <x v="0"/>
    <n v="50"/>
  </r>
  <r>
    <n v="3371"/>
    <s v="Débora Lima"/>
    <x v="2"/>
    <d v="2024-07-15T00:00:00"/>
    <x v="1"/>
    <n v="10"/>
    <x v="0"/>
    <s v="No"/>
    <s v="-"/>
    <s v="Yes"/>
    <n v="20"/>
    <x v="1"/>
    <x v="0"/>
    <x v="0"/>
    <n v="25"/>
  </r>
  <r>
    <n v="3372"/>
    <s v="Elisa Neves"/>
    <x v="1"/>
    <d v="2024-07-16T00:00:00"/>
    <x v="0"/>
    <n v="5"/>
    <x v="1"/>
    <s v="No"/>
    <s v="-"/>
    <s v="No"/>
    <n v="0"/>
    <x v="1"/>
    <x v="1"/>
    <x v="1"/>
    <n v="5"/>
  </r>
  <r>
    <n v="3373"/>
    <s v="Fabiano Gomes"/>
    <x v="0"/>
    <d v="2024-07-17T00:00:00"/>
    <x v="1"/>
    <n v="15"/>
    <x v="2"/>
    <s v="Yes"/>
    <n v="30"/>
    <s v="Yes"/>
    <n v="20"/>
    <x v="0"/>
    <x v="7"/>
    <x v="0"/>
    <n v="45"/>
  </r>
  <r>
    <n v="3374"/>
    <s v="Gisele Oliveira"/>
    <x v="2"/>
    <d v="2024-07-18T00:00:00"/>
    <x v="0"/>
    <n v="10"/>
    <x v="2"/>
    <s v="No"/>
    <s v="-"/>
    <s v="Yes"/>
    <n v="20"/>
    <x v="1"/>
    <x v="9"/>
    <x v="0"/>
    <n v="18"/>
  </r>
  <r>
    <n v="3375"/>
    <s v="Héctor Silva"/>
    <x v="1"/>
    <d v="2024-07-19T00:00:00"/>
    <x v="1"/>
    <n v="5"/>
    <x v="0"/>
    <s v="No"/>
    <s v="-"/>
    <s v="No"/>
    <n v="0"/>
    <x v="1"/>
    <x v="5"/>
    <x v="0"/>
    <n v="3"/>
  </r>
  <r>
    <n v="3376"/>
    <s v="Igor Martins"/>
    <x v="0"/>
    <d v="2024-07-20T00:00:00"/>
    <x v="0"/>
    <n v="15"/>
    <x v="1"/>
    <s v="Yes"/>
    <n v="30"/>
    <s v="Yes"/>
    <n v="20"/>
    <x v="0"/>
    <x v="0"/>
    <x v="0"/>
    <n v="60"/>
  </r>
  <r>
    <n v="3377"/>
    <s v="Joana Figueiredo"/>
    <x v="2"/>
    <d v="2024-07-21T00:00:00"/>
    <x v="1"/>
    <n v="10"/>
    <x v="0"/>
    <s v="No"/>
    <s v="-"/>
    <s v="Yes"/>
    <n v="20"/>
    <x v="1"/>
    <x v="2"/>
    <x v="0"/>
    <n v="20"/>
  </r>
  <r>
    <n v="3378"/>
    <s v="Kleber Machado"/>
    <x v="1"/>
    <d v="2024-07-22T00:00:00"/>
    <x v="0"/>
    <n v="5"/>
    <x v="2"/>
    <s v="No"/>
    <s v="-"/>
    <s v="No"/>
    <n v="0"/>
    <x v="1"/>
    <x v="1"/>
    <x v="1"/>
    <n v="5"/>
  </r>
  <r>
    <n v="3379"/>
    <s v="Luciana Santos"/>
    <x v="0"/>
    <d v="2024-07-23T00:00:00"/>
    <x v="1"/>
    <n v="15"/>
    <x v="0"/>
    <s v="Yes"/>
    <n v="30"/>
    <s v="Yes"/>
    <n v="20"/>
    <x v="0"/>
    <x v="3"/>
    <x v="0"/>
    <n v="62"/>
  </r>
  <r>
    <n v="3380"/>
    <s v="Marcos Teixeira"/>
    <x v="2"/>
    <d v="2024-07-24T00:00:00"/>
    <x v="0"/>
    <n v="10"/>
    <x v="1"/>
    <s v="No"/>
    <s v="-"/>
    <s v="Yes"/>
    <n v="20"/>
    <x v="1"/>
    <x v="6"/>
    <x v="0"/>
    <n v="15"/>
  </r>
  <r>
    <n v="3381"/>
    <s v="Natalia Costa"/>
    <x v="1"/>
    <d v="2024-07-25T00:00:00"/>
    <x v="1"/>
    <n v="5"/>
    <x v="0"/>
    <s v="No"/>
    <s v="-"/>
    <s v="No"/>
    <n v="0"/>
    <x v="1"/>
    <x v="4"/>
    <x v="0"/>
    <n v="4"/>
  </r>
  <r>
    <n v="3382"/>
    <s v="Oscar Ribeiro"/>
    <x v="0"/>
    <d v="2024-07-26T00:00:00"/>
    <x v="0"/>
    <n v="15"/>
    <x v="2"/>
    <s v="Yes"/>
    <n v="30"/>
    <s v="Yes"/>
    <n v="20"/>
    <x v="0"/>
    <x v="10"/>
    <x v="0"/>
    <n v="58"/>
  </r>
  <r>
    <n v="3383"/>
    <s v="Patricia Almeida"/>
    <x v="2"/>
    <d v="2024-07-27T00:00:00"/>
    <x v="1"/>
    <n v="10"/>
    <x v="0"/>
    <s v="No"/>
    <s v="-"/>
    <s v="Yes"/>
    <n v="20"/>
    <x v="1"/>
    <x v="2"/>
    <x v="0"/>
    <n v="20"/>
  </r>
  <r>
    <n v="3384"/>
    <s v="Quirino Junior"/>
    <x v="1"/>
    <d v="2024-07-28T00:00:00"/>
    <x v="0"/>
    <n v="5"/>
    <x v="1"/>
    <s v="No"/>
    <s v="-"/>
    <s v="No"/>
    <n v="0"/>
    <x v="1"/>
    <x v="1"/>
    <x v="1"/>
    <n v="5"/>
  </r>
  <r>
    <n v="3385"/>
    <s v="Renata Machado"/>
    <x v="0"/>
    <d v="2024-07-29T00:00:00"/>
    <x v="1"/>
    <n v="15"/>
    <x v="0"/>
    <s v="Yes"/>
    <n v="30"/>
    <s v="Yes"/>
    <n v="20"/>
    <x v="0"/>
    <x v="7"/>
    <x v="0"/>
    <n v="45"/>
  </r>
  <r>
    <n v="3386"/>
    <s v="Sônia Alves"/>
    <x v="2"/>
    <d v="2024-07-30T00:00:00"/>
    <x v="0"/>
    <n v="10"/>
    <x v="2"/>
    <s v="No"/>
    <s v="-"/>
    <s v="Yes"/>
    <n v="20"/>
    <x v="1"/>
    <x v="6"/>
    <x v="0"/>
    <n v="15"/>
  </r>
  <r>
    <n v="3387"/>
    <s v="Tiago Nunes"/>
    <x v="1"/>
    <d v="2024-07-31T00:00:00"/>
    <x v="1"/>
    <n v="5"/>
    <x v="0"/>
    <s v="No"/>
    <s v="-"/>
    <s v="No"/>
    <n v="0"/>
    <x v="1"/>
    <x v="4"/>
    <x v="0"/>
    <n v="4"/>
  </r>
  <r>
    <n v="3388"/>
    <s v="Ulysses Pereira"/>
    <x v="0"/>
    <d v="2024-08-01T00:00:00"/>
    <x v="0"/>
    <n v="15"/>
    <x v="1"/>
    <s v="Yes"/>
    <n v="30"/>
    <s v="Yes"/>
    <n v="20"/>
    <x v="0"/>
    <x v="3"/>
    <x v="0"/>
    <n v="62"/>
  </r>
  <r>
    <n v="3389"/>
    <s v="Vanessa Lima"/>
    <x v="2"/>
    <d v="2024-08-02T00:00:00"/>
    <x v="1"/>
    <n v="10"/>
    <x v="0"/>
    <s v="No"/>
    <s v="-"/>
    <s v="Yes"/>
    <n v="20"/>
    <x v="1"/>
    <x v="2"/>
    <x v="0"/>
    <n v="20"/>
  </r>
  <r>
    <n v="3390"/>
    <s v="Wagner Santos"/>
    <x v="1"/>
    <d v="2024-08-03T00:00:00"/>
    <x v="0"/>
    <n v="5"/>
    <x v="2"/>
    <s v="No"/>
    <s v="-"/>
    <s v="No"/>
    <n v="0"/>
    <x v="1"/>
    <x v="1"/>
    <x v="1"/>
    <n v="5"/>
  </r>
  <r>
    <n v="3391"/>
    <s v="Xuxa Meneghel"/>
    <x v="0"/>
    <d v="2024-08-04T00:00:00"/>
    <x v="1"/>
    <n v="15"/>
    <x v="0"/>
    <s v="Yes"/>
    <n v="30"/>
    <s v="Yes"/>
    <n v="20"/>
    <x v="0"/>
    <x v="6"/>
    <x v="0"/>
    <n v="50"/>
  </r>
  <r>
    <n v="3392"/>
    <s v="Yasmin Silva"/>
    <x v="2"/>
    <d v="2024-08-05T00:00:00"/>
    <x v="0"/>
    <n v="10"/>
    <x v="1"/>
    <s v="No"/>
    <s v="-"/>
    <s v="Yes"/>
    <n v="20"/>
    <x v="1"/>
    <x v="6"/>
    <x v="0"/>
    <n v="15"/>
  </r>
  <r>
    <n v="3393"/>
    <s v="Zacarias de Souza"/>
    <x v="1"/>
    <d v="2024-08-06T00:00:00"/>
    <x v="1"/>
    <n v="5"/>
    <x v="0"/>
    <s v="No"/>
    <s v="-"/>
    <s v="No"/>
    <n v="0"/>
    <x v="1"/>
    <x v="4"/>
    <x v="0"/>
    <n v="4"/>
  </r>
  <r>
    <n v="3394"/>
    <s v="André Lima"/>
    <x v="0"/>
    <d v="2024-08-07T00:00:00"/>
    <x v="0"/>
    <n v="15"/>
    <x v="2"/>
    <s v="Yes"/>
    <n v="30"/>
    <s v="Yes"/>
    <n v="20"/>
    <x v="0"/>
    <x v="10"/>
    <x v="0"/>
    <n v="58"/>
  </r>
  <r>
    <n v="3395"/>
    <s v="Bianca Freitas"/>
    <x v="2"/>
    <d v="2024-08-08T00:00:00"/>
    <x v="1"/>
    <n v="10"/>
    <x v="0"/>
    <s v="No"/>
    <s v="-"/>
    <s v="Yes"/>
    <n v="20"/>
    <x v="1"/>
    <x v="2"/>
    <x v="0"/>
    <n v="20"/>
  </r>
  <r>
    <n v="3396"/>
    <s v="Caio Mendes"/>
    <x v="1"/>
    <d v="2024-08-09T00:00:00"/>
    <x v="0"/>
    <n v="5"/>
    <x v="1"/>
    <s v="No"/>
    <s v="-"/>
    <s v="No"/>
    <n v="0"/>
    <x v="1"/>
    <x v="1"/>
    <x v="1"/>
    <n v="5"/>
  </r>
  <r>
    <n v="3397"/>
    <s v="Daniela Moura"/>
    <x v="0"/>
    <d v="2024-08-10T00:00:00"/>
    <x v="1"/>
    <n v="15"/>
    <x v="0"/>
    <s v="Yes"/>
    <n v="30"/>
    <s v="Yes"/>
    <n v="20"/>
    <x v="0"/>
    <x v="7"/>
    <x v="0"/>
    <n v="45"/>
  </r>
  <r>
    <n v="3398"/>
    <s v="Eduardo Costa"/>
    <x v="2"/>
    <d v="2024-08-11T00:00:00"/>
    <x v="0"/>
    <n v="10"/>
    <x v="2"/>
    <s v="No"/>
    <s v="-"/>
    <s v="Yes"/>
    <n v="20"/>
    <x v="1"/>
    <x v="6"/>
    <x v="0"/>
    <n v="15"/>
  </r>
  <r>
    <n v="3399"/>
    <s v="Fernanda Gomes"/>
    <x v="1"/>
    <d v="2024-08-12T00:00:00"/>
    <x v="1"/>
    <n v="5"/>
    <x v="0"/>
    <s v="No"/>
    <s v="-"/>
    <s v="No"/>
    <n v="0"/>
    <x v="1"/>
    <x v="4"/>
    <x v="0"/>
    <n v="4"/>
  </r>
  <r>
    <n v="3400"/>
    <s v="Guilherme Souza"/>
    <x v="0"/>
    <d v="2024-08-13T00:00:00"/>
    <x v="0"/>
    <n v="15"/>
    <x v="1"/>
    <s v="Yes"/>
    <n v="30"/>
    <s v="Yes"/>
    <n v="20"/>
    <x v="0"/>
    <x v="0"/>
    <x v="0"/>
    <n v="60"/>
  </r>
  <r>
    <n v="3401"/>
    <s v="Helena Ribeiro"/>
    <x v="2"/>
    <d v="2024-08-14T00:00:00"/>
    <x v="1"/>
    <n v="10"/>
    <x v="0"/>
    <s v="No"/>
    <s v="-"/>
    <s v="Yes"/>
    <n v="20"/>
    <x v="1"/>
    <x v="2"/>
    <x v="0"/>
    <n v="20"/>
  </r>
  <r>
    <n v="3402"/>
    <s v="Igor Santos"/>
    <x v="1"/>
    <d v="2024-08-15T00:00:00"/>
    <x v="0"/>
    <n v="5"/>
    <x v="2"/>
    <s v="No"/>
    <s v="-"/>
    <s v="No"/>
    <n v="0"/>
    <x v="1"/>
    <x v="1"/>
    <x v="1"/>
    <n v="5"/>
  </r>
  <r>
    <n v="3403"/>
    <s v="João Carvalho"/>
    <x v="0"/>
    <d v="2024-08-16T00:00:00"/>
    <x v="1"/>
    <n v="15"/>
    <x v="0"/>
    <s v="Yes"/>
    <n v="30"/>
    <s v="Yes"/>
    <n v="20"/>
    <x v="0"/>
    <x v="3"/>
    <x v="0"/>
    <n v="62"/>
  </r>
  <r>
    <n v="3404"/>
    <s v="Klara Fagundes"/>
    <x v="2"/>
    <d v="2024-08-17T00:00:00"/>
    <x v="0"/>
    <n v="10"/>
    <x v="1"/>
    <s v="No"/>
    <s v="-"/>
    <s v="Yes"/>
    <n v="20"/>
    <x v="1"/>
    <x v="6"/>
    <x v="0"/>
    <n v="15"/>
  </r>
  <r>
    <n v="3405"/>
    <s v="Lúcia Mendonça"/>
    <x v="1"/>
    <d v="2024-08-18T00:00:00"/>
    <x v="1"/>
    <n v="5"/>
    <x v="0"/>
    <s v="No"/>
    <s v="-"/>
    <s v="No"/>
    <n v="0"/>
    <x v="1"/>
    <x v="4"/>
    <x v="0"/>
    <n v="4"/>
  </r>
  <r>
    <n v="3406"/>
    <s v="Marcelo Novaes"/>
    <x v="1"/>
    <d v="2024-08-19T00:00:00"/>
    <x v="0"/>
    <n v="5"/>
    <x v="0"/>
    <s v="No"/>
    <s v="-"/>
    <s v="No"/>
    <n v="0"/>
    <x v="1"/>
    <x v="1"/>
    <x v="1"/>
    <n v="5"/>
  </r>
  <r>
    <n v="3407"/>
    <s v="Nina Pacheco"/>
    <x v="0"/>
    <d v="2024-08-20T00:00:00"/>
    <x v="1"/>
    <n v="15"/>
    <x v="2"/>
    <s v="Yes"/>
    <n v="30"/>
    <s v="Yes"/>
    <n v="20"/>
    <x v="0"/>
    <x v="10"/>
    <x v="0"/>
    <n v="58"/>
  </r>
  <r>
    <n v="3408"/>
    <s v="Olívia Rios"/>
    <x v="2"/>
    <d v="2024-08-21T00:00:00"/>
    <x v="0"/>
    <n v="10"/>
    <x v="1"/>
    <s v="No"/>
    <s v="-"/>
    <s v="Yes"/>
    <n v="20"/>
    <x v="1"/>
    <x v="2"/>
    <x v="0"/>
    <n v="20"/>
  </r>
  <r>
    <n v="3409"/>
    <s v="Paulo Quintana"/>
    <x v="1"/>
    <d v="2024-08-22T00:00:00"/>
    <x v="1"/>
    <n v="5"/>
    <x v="2"/>
    <s v="No"/>
    <s v="-"/>
    <s v="No"/>
    <n v="0"/>
    <x v="1"/>
    <x v="4"/>
    <x v="0"/>
    <n v="4"/>
  </r>
  <r>
    <n v="3410"/>
    <s v="Raquel Domingos"/>
    <x v="0"/>
    <d v="2024-08-23T00:00:00"/>
    <x v="0"/>
    <n v="15"/>
    <x v="0"/>
    <s v="Yes"/>
    <n v="30"/>
    <s v="Yes"/>
    <n v="20"/>
    <x v="0"/>
    <x v="6"/>
    <x v="0"/>
    <n v="50"/>
  </r>
  <r>
    <n v="3411"/>
    <s v="Samuel Viana"/>
    <x v="2"/>
    <d v="2024-08-24T00:00:00"/>
    <x v="1"/>
    <n v="10"/>
    <x v="0"/>
    <s v="No"/>
    <s v="-"/>
    <s v="Yes"/>
    <n v="20"/>
    <x v="1"/>
    <x v="0"/>
    <x v="0"/>
    <n v="25"/>
  </r>
  <r>
    <n v="3412"/>
    <s v="Tatiane Rocha"/>
    <x v="1"/>
    <d v="2024-08-25T00:00:00"/>
    <x v="0"/>
    <n v="5"/>
    <x v="1"/>
    <s v="No"/>
    <s v="-"/>
    <s v="No"/>
    <n v="0"/>
    <x v="1"/>
    <x v="1"/>
    <x v="1"/>
    <n v="5"/>
  </r>
  <r>
    <n v="3413"/>
    <s v="Ulysses Farias"/>
    <x v="0"/>
    <d v="2024-08-26T00:00:00"/>
    <x v="1"/>
    <n v="15"/>
    <x v="2"/>
    <s v="Yes"/>
    <n v="30"/>
    <s v="Yes"/>
    <n v="20"/>
    <x v="0"/>
    <x v="7"/>
    <x v="0"/>
    <n v="45"/>
  </r>
  <r>
    <n v="3414"/>
    <s v="Vanessa Moreira"/>
    <x v="2"/>
    <d v="2024-08-27T00:00:00"/>
    <x v="0"/>
    <n v="10"/>
    <x v="2"/>
    <s v="No"/>
    <s v="-"/>
    <s v="Yes"/>
    <n v="20"/>
    <x v="1"/>
    <x v="9"/>
    <x v="0"/>
    <n v="18"/>
  </r>
  <r>
    <n v="3415"/>
    <s v="William Carvalho"/>
    <x v="1"/>
    <d v="2024-08-28T00:00:00"/>
    <x v="1"/>
    <n v="5"/>
    <x v="0"/>
    <s v="No"/>
    <s v="-"/>
    <s v="No"/>
    <n v="0"/>
    <x v="1"/>
    <x v="5"/>
    <x v="0"/>
    <n v="3"/>
  </r>
  <r>
    <n v="3416"/>
    <s v="Ximena Barros"/>
    <x v="0"/>
    <d v="2024-08-29T00:00:00"/>
    <x v="0"/>
    <n v="15"/>
    <x v="1"/>
    <s v="Yes"/>
    <n v="30"/>
    <s v="Yes"/>
    <n v="20"/>
    <x v="0"/>
    <x v="0"/>
    <x v="0"/>
    <n v="60"/>
  </r>
  <r>
    <n v="3417"/>
    <s v="Yara Machado"/>
    <x v="2"/>
    <d v="2024-08-30T00:00:00"/>
    <x v="1"/>
    <n v="10"/>
    <x v="0"/>
    <s v="No"/>
    <s v="-"/>
    <s v="Yes"/>
    <n v="20"/>
    <x v="1"/>
    <x v="2"/>
    <x v="0"/>
    <n v="20"/>
  </r>
  <r>
    <n v="3418"/>
    <s v="Zacarias Costa"/>
    <x v="1"/>
    <d v="2024-08-31T00:00:00"/>
    <x v="0"/>
    <n v="5"/>
    <x v="2"/>
    <s v="No"/>
    <s v="-"/>
    <s v="No"/>
    <n v="0"/>
    <x v="1"/>
    <x v="1"/>
    <x v="1"/>
    <n v="5"/>
  </r>
  <r>
    <n v="3419"/>
    <s v="André Lopes"/>
    <x v="0"/>
    <d v="2024-09-01T00:00:00"/>
    <x v="1"/>
    <n v="15"/>
    <x v="0"/>
    <s v="Yes"/>
    <n v="30"/>
    <s v="Yes"/>
    <n v="20"/>
    <x v="0"/>
    <x v="3"/>
    <x v="0"/>
    <n v="62"/>
  </r>
  <r>
    <n v="3420"/>
    <s v="Beatriz Souza"/>
    <x v="2"/>
    <d v="2024-09-02T00:00:00"/>
    <x v="0"/>
    <n v="10"/>
    <x v="1"/>
    <s v="No"/>
    <s v="-"/>
    <s v="Yes"/>
    <n v="20"/>
    <x v="1"/>
    <x v="6"/>
    <x v="0"/>
    <n v="15"/>
  </r>
  <r>
    <n v="3421"/>
    <s v="Caio Pereira"/>
    <x v="1"/>
    <d v="2024-09-03T00:00:00"/>
    <x v="1"/>
    <n v="5"/>
    <x v="0"/>
    <s v="No"/>
    <s v="-"/>
    <s v="No"/>
    <n v="0"/>
    <x v="1"/>
    <x v="4"/>
    <x v="0"/>
    <n v="4"/>
  </r>
  <r>
    <n v="3422"/>
    <s v="Daniela Araújo"/>
    <x v="0"/>
    <d v="2024-09-04T00:00:00"/>
    <x v="0"/>
    <n v="15"/>
    <x v="2"/>
    <s v="Yes"/>
    <n v="30"/>
    <s v="Yes"/>
    <n v="20"/>
    <x v="0"/>
    <x v="10"/>
    <x v="0"/>
    <n v="58"/>
  </r>
  <r>
    <n v="3423"/>
    <s v="Eduardo Santos"/>
    <x v="2"/>
    <d v="2024-09-05T00:00:00"/>
    <x v="1"/>
    <n v="10"/>
    <x v="0"/>
    <s v="No"/>
    <s v="-"/>
    <s v="Yes"/>
    <n v="20"/>
    <x v="1"/>
    <x v="2"/>
    <x v="0"/>
    <n v="20"/>
  </r>
  <r>
    <n v="3424"/>
    <s v="Fernanda Lima"/>
    <x v="1"/>
    <d v="2024-09-06T00:00:00"/>
    <x v="0"/>
    <n v="5"/>
    <x v="1"/>
    <s v="No"/>
    <s v="-"/>
    <s v="No"/>
    <n v="0"/>
    <x v="1"/>
    <x v="1"/>
    <x v="1"/>
    <n v="5"/>
  </r>
  <r>
    <n v="3425"/>
    <s v="Gabriel Teixeira"/>
    <x v="0"/>
    <d v="2024-09-07T00:00:00"/>
    <x v="1"/>
    <n v="15"/>
    <x v="0"/>
    <s v="Yes"/>
    <n v="30"/>
    <s v="Yes"/>
    <n v="20"/>
    <x v="0"/>
    <x v="7"/>
    <x v="0"/>
    <n v="45"/>
  </r>
  <r>
    <n v="3426"/>
    <s v="Helena Ribeiro"/>
    <x v="2"/>
    <d v="2024-09-08T00:00:00"/>
    <x v="0"/>
    <n v="10"/>
    <x v="2"/>
    <s v="No"/>
    <s v="-"/>
    <s v="Yes"/>
    <n v="20"/>
    <x v="1"/>
    <x v="6"/>
    <x v="0"/>
    <n v="15"/>
  </r>
  <r>
    <n v="3427"/>
    <s v="Igor Mendes"/>
    <x v="1"/>
    <d v="2024-09-09T00:00:00"/>
    <x v="1"/>
    <n v="5"/>
    <x v="0"/>
    <s v="No"/>
    <s v="-"/>
    <s v="No"/>
    <n v="0"/>
    <x v="1"/>
    <x v="4"/>
    <x v="0"/>
    <n v="4"/>
  </r>
  <r>
    <n v="3428"/>
    <s v="Joana Silveira"/>
    <x v="0"/>
    <d v="2024-09-10T00:00:00"/>
    <x v="0"/>
    <n v="15"/>
    <x v="1"/>
    <s v="Yes"/>
    <n v="30"/>
    <s v="Yes"/>
    <n v="20"/>
    <x v="0"/>
    <x v="3"/>
    <x v="0"/>
    <n v="62"/>
  </r>
  <r>
    <n v="3429"/>
    <s v="Lucas Martins"/>
    <x v="2"/>
    <d v="2024-09-11T00:00:00"/>
    <x v="1"/>
    <n v="10"/>
    <x v="0"/>
    <s v="No"/>
    <s v="-"/>
    <s v="Yes"/>
    <n v="20"/>
    <x v="1"/>
    <x v="2"/>
    <x v="0"/>
    <n v="20"/>
  </r>
  <r>
    <n v="3430"/>
    <s v="Marcela Gouveia"/>
    <x v="1"/>
    <d v="2024-09-12T00:00:00"/>
    <x v="0"/>
    <n v="5"/>
    <x v="2"/>
    <s v="No"/>
    <s v="-"/>
    <s v="No"/>
    <n v="0"/>
    <x v="1"/>
    <x v="1"/>
    <x v="1"/>
    <n v="5"/>
  </r>
  <r>
    <n v="3431"/>
    <s v="Nicolas Borges"/>
    <x v="0"/>
    <d v="2024-09-13T00:00:00"/>
    <x v="1"/>
    <n v="15"/>
    <x v="0"/>
    <s v="Yes"/>
    <n v="30"/>
    <s v="Yes"/>
    <n v="20"/>
    <x v="0"/>
    <x v="6"/>
    <x v="0"/>
    <n v="50"/>
  </r>
  <r>
    <n v="3432"/>
    <s v="Olivia Freitas"/>
    <x v="2"/>
    <d v="2024-09-14T00:00:00"/>
    <x v="0"/>
    <n v="10"/>
    <x v="1"/>
    <s v="No"/>
    <s v="-"/>
    <s v="Yes"/>
    <n v="20"/>
    <x v="1"/>
    <x v="6"/>
    <x v="0"/>
    <n v="15"/>
  </r>
  <r>
    <n v="3433"/>
    <s v="Paulo Nogueira"/>
    <x v="1"/>
    <d v="2024-09-15T00:00:00"/>
    <x v="1"/>
    <n v="5"/>
    <x v="0"/>
    <s v="No"/>
    <s v="-"/>
    <s v="No"/>
    <n v="0"/>
    <x v="1"/>
    <x v="4"/>
    <x v="0"/>
    <n v="4"/>
  </r>
  <r>
    <n v="3434"/>
    <s v="Raquel Andrade"/>
    <x v="0"/>
    <d v="2024-09-16T00:00:00"/>
    <x v="0"/>
    <n v="15"/>
    <x v="2"/>
    <s v="Yes"/>
    <n v="30"/>
    <s v="Yes"/>
    <n v="20"/>
    <x v="0"/>
    <x v="10"/>
    <x v="0"/>
    <n v="58"/>
  </r>
  <r>
    <n v="3435"/>
    <s v="Sônia Carvalho"/>
    <x v="2"/>
    <d v="2024-09-17T00:00:00"/>
    <x v="1"/>
    <n v="10"/>
    <x v="0"/>
    <s v="No"/>
    <s v="-"/>
    <s v="Yes"/>
    <n v="20"/>
    <x v="1"/>
    <x v="2"/>
    <x v="0"/>
    <n v="20"/>
  </r>
  <r>
    <n v="3436"/>
    <s v="Tiago Rodrigues"/>
    <x v="1"/>
    <d v="2024-09-18T00:00:00"/>
    <x v="0"/>
    <n v="5"/>
    <x v="0"/>
    <s v="No"/>
    <s v="-"/>
    <s v="No"/>
    <n v="0"/>
    <x v="1"/>
    <x v="1"/>
    <x v="1"/>
    <n v="5"/>
  </r>
  <r>
    <n v="3437"/>
    <s v="Ursula Monteiro"/>
    <x v="0"/>
    <d v="2024-09-19T00:00:00"/>
    <x v="1"/>
    <n v="15"/>
    <x v="2"/>
    <s v="Yes"/>
    <n v="30"/>
    <s v="Yes"/>
    <n v="20"/>
    <x v="0"/>
    <x v="10"/>
    <x v="0"/>
    <n v="58"/>
  </r>
  <r>
    <n v="3438"/>
    <s v="Vanessa Pereira"/>
    <x v="2"/>
    <d v="2024-09-20T00:00:00"/>
    <x v="0"/>
    <n v="10"/>
    <x v="1"/>
    <s v="No"/>
    <s v="-"/>
    <s v="Yes"/>
    <n v="20"/>
    <x v="1"/>
    <x v="2"/>
    <x v="0"/>
    <n v="20"/>
  </r>
  <r>
    <n v="3439"/>
    <s v="Walter Silva"/>
    <x v="1"/>
    <d v="2024-09-21T00:00:00"/>
    <x v="1"/>
    <n v="5"/>
    <x v="2"/>
    <s v="No"/>
    <s v="-"/>
    <s v="No"/>
    <n v="0"/>
    <x v="1"/>
    <x v="4"/>
    <x v="0"/>
    <n v="4"/>
  </r>
  <r>
    <n v="3440"/>
    <s v="Xavier Almeida"/>
    <x v="0"/>
    <d v="2024-09-22T00:00:00"/>
    <x v="0"/>
    <n v="15"/>
    <x v="0"/>
    <s v="Yes"/>
    <n v="30"/>
    <s v="Yes"/>
    <n v="20"/>
    <x v="0"/>
    <x v="6"/>
    <x v="0"/>
    <n v="50"/>
  </r>
  <r>
    <n v="3441"/>
    <s v="Yasmine Correia"/>
    <x v="2"/>
    <d v="2024-09-23T00:00:00"/>
    <x v="1"/>
    <n v="10"/>
    <x v="0"/>
    <s v="No"/>
    <s v="-"/>
    <s v="Yes"/>
    <n v="20"/>
    <x v="1"/>
    <x v="0"/>
    <x v="0"/>
    <n v="25"/>
  </r>
  <r>
    <n v="3442"/>
    <s v="Zacarias Almeida"/>
    <x v="1"/>
    <d v="2024-09-24T00:00:00"/>
    <x v="0"/>
    <n v="5"/>
    <x v="1"/>
    <s v="No"/>
    <s v="-"/>
    <s v="No"/>
    <n v="0"/>
    <x v="1"/>
    <x v="1"/>
    <x v="1"/>
    <n v="5"/>
  </r>
  <r>
    <n v="3443"/>
    <s v="Amanda Costa"/>
    <x v="0"/>
    <d v="2024-09-25T00:00:00"/>
    <x v="1"/>
    <n v="15"/>
    <x v="2"/>
    <s v="Yes"/>
    <n v="30"/>
    <s v="Yes"/>
    <n v="20"/>
    <x v="0"/>
    <x v="7"/>
    <x v="0"/>
    <n v="45"/>
  </r>
  <r>
    <n v="3444"/>
    <s v="Bruno Ferreira"/>
    <x v="2"/>
    <d v="2024-09-26T00:00:00"/>
    <x v="0"/>
    <n v="10"/>
    <x v="2"/>
    <s v="No"/>
    <s v="-"/>
    <s v="Yes"/>
    <n v="20"/>
    <x v="1"/>
    <x v="9"/>
    <x v="0"/>
    <n v="18"/>
  </r>
  <r>
    <n v="3445"/>
    <s v="Carla Dias"/>
    <x v="1"/>
    <d v="2024-09-27T00:00:00"/>
    <x v="1"/>
    <n v="5"/>
    <x v="0"/>
    <s v="No"/>
    <s v="-"/>
    <s v="No"/>
    <n v="0"/>
    <x v="1"/>
    <x v="5"/>
    <x v="0"/>
    <n v="3"/>
  </r>
  <r>
    <n v="3446"/>
    <s v="Diogo Martins"/>
    <x v="0"/>
    <d v="2024-09-28T00:00:00"/>
    <x v="0"/>
    <n v="15"/>
    <x v="1"/>
    <s v="Yes"/>
    <n v="30"/>
    <s v="Yes"/>
    <n v="20"/>
    <x v="0"/>
    <x v="0"/>
    <x v="0"/>
    <n v="60"/>
  </r>
  <r>
    <n v="3447"/>
    <s v="Elisa Campos"/>
    <x v="2"/>
    <d v="2024-09-29T00:00:00"/>
    <x v="1"/>
    <n v="10"/>
    <x v="0"/>
    <s v="No"/>
    <s v="-"/>
    <s v="Yes"/>
    <n v="20"/>
    <x v="1"/>
    <x v="2"/>
    <x v="0"/>
    <n v="20"/>
  </r>
  <r>
    <n v="3448"/>
    <s v="Fabiana Lima"/>
    <x v="1"/>
    <d v="2024-09-30T00:00:00"/>
    <x v="0"/>
    <n v="5"/>
    <x v="2"/>
    <s v="No"/>
    <s v="-"/>
    <s v="No"/>
    <n v="0"/>
    <x v="1"/>
    <x v="1"/>
    <x v="1"/>
    <n v="5"/>
  </r>
  <r>
    <n v="3449"/>
    <s v="Gabriel Santos"/>
    <x v="0"/>
    <d v="2024-10-01T00:00:00"/>
    <x v="1"/>
    <n v="15"/>
    <x v="0"/>
    <s v="Yes"/>
    <n v="30"/>
    <s v="Yes"/>
    <n v="20"/>
    <x v="0"/>
    <x v="3"/>
    <x v="0"/>
    <n v="62"/>
  </r>
  <r>
    <n v="3450"/>
    <s v="Helena Ferreira"/>
    <x v="2"/>
    <d v="2024-10-02T00:00:00"/>
    <x v="0"/>
    <n v="10"/>
    <x v="1"/>
    <s v="No"/>
    <s v="-"/>
    <s v="Yes"/>
    <n v="20"/>
    <x v="1"/>
    <x v="6"/>
    <x v="0"/>
    <n v="15"/>
  </r>
  <r>
    <n v="3451"/>
    <s v="Ígor Nunes"/>
    <x v="1"/>
    <d v="2024-10-03T00:00:00"/>
    <x v="1"/>
    <n v="5"/>
    <x v="0"/>
    <s v="No"/>
    <s v="-"/>
    <s v="No"/>
    <n v="0"/>
    <x v="1"/>
    <x v="4"/>
    <x v="0"/>
    <n v="4"/>
  </r>
  <r>
    <n v="3452"/>
    <s v="Joana Silveira"/>
    <x v="0"/>
    <d v="2024-10-04T00:00:00"/>
    <x v="0"/>
    <n v="15"/>
    <x v="2"/>
    <s v="Yes"/>
    <n v="30"/>
    <s v="Yes"/>
    <n v="20"/>
    <x v="0"/>
    <x v="10"/>
    <x v="0"/>
    <n v="58"/>
  </r>
  <r>
    <n v="3453"/>
    <s v="Kléber Oliveira"/>
    <x v="2"/>
    <d v="2024-10-05T00:00:00"/>
    <x v="1"/>
    <n v="10"/>
    <x v="0"/>
    <s v="No"/>
    <s v="-"/>
    <s v="Yes"/>
    <n v="20"/>
    <x v="1"/>
    <x v="2"/>
    <x v="0"/>
    <n v="20"/>
  </r>
  <r>
    <n v="3454"/>
    <s v="Luciana Morais"/>
    <x v="1"/>
    <d v="2024-10-06T00:00:00"/>
    <x v="0"/>
    <n v="5"/>
    <x v="1"/>
    <s v="No"/>
    <s v="-"/>
    <s v="No"/>
    <n v="0"/>
    <x v="1"/>
    <x v="1"/>
    <x v="1"/>
    <n v="5"/>
  </r>
  <r>
    <n v="3455"/>
    <s v="Marcos Vinícius"/>
    <x v="0"/>
    <d v="2024-10-07T00:00:00"/>
    <x v="1"/>
    <n v="15"/>
    <x v="0"/>
    <s v="Yes"/>
    <n v="30"/>
    <s v="Yes"/>
    <n v="20"/>
    <x v="0"/>
    <x v="7"/>
    <x v="0"/>
    <n v="45"/>
  </r>
  <r>
    <n v="3456"/>
    <s v="Natália Barros"/>
    <x v="2"/>
    <d v="2024-10-08T00:00:00"/>
    <x v="0"/>
    <n v="10"/>
    <x v="2"/>
    <s v="No"/>
    <s v="-"/>
    <s v="Yes"/>
    <n v="20"/>
    <x v="1"/>
    <x v="6"/>
    <x v="0"/>
    <n v="15"/>
  </r>
  <r>
    <n v="3457"/>
    <s v="Oscar Sampaio"/>
    <x v="1"/>
    <d v="2024-10-09T00:00:00"/>
    <x v="1"/>
    <n v="5"/>
    <x v="0"/>
    <s v="No"/>
    <s v="-"/>
    <s v="No"/>
    <n v="0"/>
    <x v="1"/>
    <x v="4"/>
    <x v="0"/>
    <n v="4"/>
  </r>
  <r>
    <n v="3458"/>
    <s v="Patrícia Leite"/>
    <x v="0"/>
    <d v="2024-10-10T00:00:00"/>
    <x v="0"/>
    <n v="15"/>
    <x v="1"/>
    <s v="Yes"/>
    <n v="30"/>
    <s v="Yes"/>
    <n v="20"/>
    <x v="0"/>
    <x v="3"/>
    <x v="0"/>
    <n v="62"/>
  </r>
  <r>
    <n v="3459"/>
    <s v="Quênia Rocha"/>
    <x v="2"/>
    <d v="2024-10-11T00:00:00"/>
    <x v="1"/>
    <n v="10"/>
    <x v="0"/>
    <s v="No"/>
    <s v="-"/>
    <s v="Yes"/>
    <n v="20"/>
    <x v="1"/>
    <x v="2"/>
    <x v="0"/>
    <n v="20"/>
  </r>
  <r>
    <n v="3460"/>
    <s v="Rafael Torres"/>
    <x v="1"/>
    <d v="2024-10-12T00:00:00"/>
    <x v="0"/>
    <n v="5"/>
    <x v="2"/>
    <s v="No"/>
    <s v="-"/>
    <s v="No"/>
    <n v="0"/>
    <x v="1"/>
    <x v="1"/>
    <x v="1"/>
    <n v="5"/>
  </r>
  <r>
    <n v="3461"/>
    <s v="Sandra Gouveia"/>
    <x v="0"/>
    <d v="2024-10-13T00:00:00"/>
    <x v="1"/>
    <n v="15"/>
    <x v="0"/>
    <s v="Yes"/>
    <n v="30"/>
    <s v="Yes"/>
    <n v="20"/>
    <x v="0"/>
    <x v="6"/>
    <x v="0"/>
    <n v="50"/>
  </r>
  <r>
    <n v="3462"/>
    <s v="Tiago Lacerda"/>
    <x v="2"/>
    <d v="2024-10-14T00:00:00"/>
    <x v="0"/>
    <n v="10"/>
    <x v="1"/>
    <s v="No"/>
    <s v="-"/>
    <s v="Yes"/>
    <n v="20"/>
    <x v="1"/>
    <x v="6"/>
    <x v="0"/>
    <n v="15"/>
  </r>
  <r>
    <n v="3463"/>
    <s v="Ursula Fonseca"/>
    <x v="1"/>
    <d v="2024-10-15T00:00:00"/>
    <x v="1"/>
    <n v="5"/>
    <x v="0"/>
    <s v="No"/>
    <s v="-"/>
    <s v="No"/>
    <n v="0"/>
    <x v="1"/>
    <x v="4"/>
    <x v="0"/>
    <n v="4"/>
  </r>
  <r>
    <n v="3464"/>
    <s v="Vanessa Andrade"/>
    <x v="0"/>
    <d v="2024-10-16T00:00:00"/>
    <x v="0"/>
    <n v="15"/>
    <x v="2"/>
    <s v="Yes"/>
    <n v="30"/>
    <s v="Yes"/>
    <n v="20"/>
    <x v="0"/>
    <x v="10"/>
    <x v="0"/>
    <n v="58"/>
  </r>
  <r>
    <n v="3465"/>
    <s v="William Castro"/>
    <x v="2"/>
    <d v="2024-10-17T00:00:00"/>
    <x v="1"/>
    <n v="10"/>
    <x v="0"/>
    <s v="No"/>
    <s v="-"/>
    <s v="Yes"/>
    <n v="20"/>
    <x v="1"/>
    <x v="2"/>
    <x v="0"/>
    <n v="20"/>
  </r>
  <r>
    <n v="3466"/>
    <s v="Xavier Monteiro"/>
    <x v="1"/>
    <d v="2024-10-18T00:00:00"/>
    <x v="0"/>
    <n v="5"/>
    <x v="1"/>
    <s v="No"/>
    <s v="-"/>
    <s v="No"/>
    <n v="0"/>
    <x v="1"/>
    <x v="1"/>
    <x v="1"/>
    <n v="5"/>
  </r>
  <r>
    <n v="3467"/>
    <s v="Yasmin Figueira"/>
    <x v="0"/>
    <d v="2024-10-19T00:00:00"/>
    <x v="1"/>
    <n v="15"/>
    <x v="0"/>
    <s v="Yes"/>
    <n v="30"/>
    <s v="Yes"/>
    <n v="20"/>
    <x v="0"/>
    <x v="6"/>
    <x v="0"/>
    <n v="50"/>
  </r>
  <r>
    <n v="3468"/>
    <s v="Zacarias Mendonça"/>
    <x v="2"/>
    <d v="2024-10-20T00:00:00"/>
    <x v="0"/>
    <n v="10"/>
    <x v="2"/>
    <s v="No"/>
    <s v="-"/>
    <s v="Yes"/>
    <n v="20"/>
    <x v="1"/>
    <x v="9"/>
    <x v="0"/>
    <n v="18"/>
  </r>
  <r>
    <n v="3469"/>
    <s v="Amanda Menezes"/>
    <x v="1"/>
    <d v="2024-10-21T00:00:00"/>
    <x v="1"/>
    <n v="5"/>
    <x v="0"/>
    <s v="No"/>
    <s v="-"/>
    <s v="No"/>
    <n v="0"/>
    <x v="1"/>
    <x v="5"/>
    <x v="0"/>
    <n v="3"/>
  </r>
  <r>
    <n v="3470"/>
    <s v="Bruno Santos"/>
    <x v="0"/>
    <d v="2024-10-22T00:00:00"/>
    <x v="0"/>
    <n v="15"/>
    <x v="1"/>
    <s v="Yes"/>
    <n v="30"/>
    <s v="Yes"/>
    <n v="20"/>
    <x v="0"/>
    <x v="0"/>
    <x v="0"/>
    <n v="60"/>
  </r>
  <r>
    <n v="3471"/>
    <s v="Carla Ferreira"/>
    <x v="2"/>
    <d v="2024-10-23T00:00:00"/>
    <x v="1"/>
    <n v="10"/>
    <x v="0"/>
    <s v="No"/>
    <s v="-"/>
    <s v="Yes"/>
    <n v="20"/>
    <x v="1"/>
    <x v="2"/>
    <x v="0"/>
    <n v="20"/>
  </r>
  <r>
    <n v="3472"/>
    <s v="Diogo Alves"/>
    <x v="1"/>
    <d v="2024-10-24T00:00:00"/>
    <x v="0"/>
    <n v="5"/>
    <x v="2"/>
    <s v="No"/>
    <s v="-"/>
    <s v="No"/>
    <n v="0"/>
    <x v="1"/>
    <x v="1"/>
    <x v="1"/>
    <n v="5"/>
  </r>
  <r>
    <n v="3473"/>
    <s v="Elisa Neves"/>
    <x v="0"/>
    <d v="2024-10-25T00:00:00"/>
    <x v="1"/>
    <n v="15"/>
    <x v="0"/>
    <s v="Yes"/>
    <n v="30"/>
    <s v="Yes"/>
    <n v="20"/>
    <x v="0"/>
    <x v="3"/>
    <x v="0"/>
    <n v="62"/>
  </r>
  <r>
    <n v="3474"/>
    <s v="Fabiano Pires"/>
    <x v="2"/>
    <d v="2024-10-26T00:00:00"/>
    <x v="0"/>
    <n v="10"/>
    <x v="1"/>
    <s v="No"/>
    <s v="-"/>
    <s v="Yes"/>
    <n v="20"/>
    <x v="1"/>
    <x v="6"/>
    <x v="0"/>
    <n v="15"/>
  </r>
  <r>
    <n v="3475"/>
    <s v="Giovana Ribeiro"/>
    <x v="1"/>
    <d v="2024-10-27T00:00:00"/>
    <x v="1"/>
    <n v="5"/>
    <x v="0"/>
    <s v="No"/>
    <s v="-"/>
    <s v="No"/>
    <n v="0"/>
    <x v="1"/>
    <x v="4"/>
    <x v="0"/>
    <n v="4"/>
  </r>
  <r>
    <n v="3476"/>
    <s v="Hélio Costa"/>
    <x v="0"/>
    <d v="2024-10-28T00:00:00"/>
    <x v="0"/>
    <n v="15"/>
    <x v="2"/>
    <s v="Yes"/>
    <n v="30"/>
    <s v="Yes"/>
    <n v="20"/>
    <x v="0"/>
    <x v="10"/>
    <x v="0"/>
    <n v="58"/>
  </r>
  <r>
    <n v="3477"/>
    <s v="Íris Loureiro"/>
    <x v="2"/>
    <d v="2024-10-29T00:00:00"/>
    <x v="1"/>
    <n v="10"/>
    <x v="0"/>
    <s v="No"/>
    <s v="-"/>
    <s v="Yes"/>
    <n v="20"/>
    <x v="1"/>
    <x v="2"/>
    <x v="0"/>
    <n v="20"/>
  </r>
  <r>
    <n v="3478"/>
    <s v="João Pereira"/>
    <x v="1"/>
    <d v="2024-10-30T00:00:00"/>
    <x v="0"/>
    <n v="5"/>
    <x v="1"/>
    <s v="No"/>
    <s v="-"/>
    <s v="No"/>
    <n v="0"/>
    <x v="1"/>
    <x v="1"/>
    <x v="1"/>
    <n v="5"/>
  </r>
  <r>
    <n v="3479"/>
    <s v="Klara Silva"/>
    <x v="0"/>
    <d v="2024-10-31T00:00:00"/>
    <x v="1"/>
    <n v="15"/>
    <x v="0"/>
    <s v="Yes"/>
    <n v="30"/>
    <s v="Yes"/>
    <n v="20"/>
    <x v="0"/>
    <x v="7"/>
    <x v="0"/>
    <n v="45"/>
  </r>
  <r>
    <n v="3480"/>
    <s v="Luciana Barros"/>
    <x v="2"/>
    <d v="2024-11-01T00:00:00"/>
    <x v="0"/>
    <n v="10"/>
    <x v="2"/>
    <s v="No"/>
    <s v="-"/>
    <s v="Yes"/>
    <n v="20"/>
    <x v="1"/>
    <x v="6"/>
    <x v="0"/>
    <n v="15"/>
  </r>
  <r>
    <n v="3481"/>
    <s v="Marcos Gomes"/>
    <x v="1"/>
    <d v="2024-11-02T00:00:00"/>
    <x v="1"/>
    <n v="5"/>
    <x v="0"/>
    <s v="No"/>
    <s v="-"/>
    <s v="No"/>
    <n v="0"/>
    <x v="1"/>
    <x v="4"/>
    <x v="0"/>
    <n v="4"/>
  </r>
  <r>
    <n v="3482"/>
    <s v="Natália Soares"/>
    <x v="0"/>
    <d v="2024-11-03T00:00:00"/>
    <x v="0"/>
    <n v="15"/>
    <x v="1"/>
    <s v="Yes"/>
    <n v="30"/>
    <s v="Yes"/>
    <n v="20"/>
    <x v="0"/>
    <x v="3"/>
    <x v="0"/>
    <n v="62"/>
  </r>
  <r>
    <n v="3483"/>
    <s v="Oscar Machado"/>
    <x v="2"/>
    <d v="2024-11-04T00:00:00"/>
    <x v="1"/>
    <n v="10"/>
    <x v="0"/>
    <s v="No"/>
    <s v="-"/>
    <s v="Yes"/>
    <n v="20"/>
    <x v="1"/>
    <x v="2"/>
    <x v="0"/>
    <n v="20"/>
  </r>
  <r>
    <n v="3484"/>
    <s v="Patrícia Lima"/>
    <x v="1"/>
    <d v="2024-11-05T00:00:00"/>
    <x v="0"/>
    <n v="5"/>
    <x v="2"/>
    <s v="No"/>
    <s v="-"/>
    <s v="No"/>
    <n v="0"/>
    <x v="1"/>
    <x v="1"/>
    <x v="1"/>
    <n v="5"/>
  </r>
  <r>
    <n v="3485"/>
    <s v="Quirino Neto"/>
    <x v="0"/>
    <d v="2024-11-06T00:00:00"/>
    <x v="1"/>
    <n v="15"/>
    <x v="0"/>
    <s v="Yes"/>
    <n v="30"/>
    <s v="Yes"/>
    <n v="20"/>
    <x v="0"/>
    <x v="6"/>
    <x v="0"/>
    <n v="50"/>
  </r>
  <r>
    <n v="3486"/>
    <s v="Rafaela Souza"/>
    <x v="1"/>
    <d v="2024-11-07T00:00:00"/>
    <x v="0"/>
    <n v="5"/>
    <x v="0"/>
    <s v="No"/>
    <s v="-"/>
    <s v="No"/>
    <n v="0"/>
    <x v="1"/>
    <x v="1"/>
    <x v="1"/>
    <n v="5"/>
  </r>
  <r>
    <n v="3487"/>
    <s v="Sandro Almeida"/>
    <x v="0"/>
    <d v="2024-11-08T00:00:00"/>
    <x v="1"/>
    <n v="15"/>
    <x v="2"/>
    <s v="Yes"/>
    <n v="30"/>
    <s v="Yes"/>
    <n v="20"/>
    <x v="0"/>
    <x v="10"/>
    <x v="0"/>
    <n v="58"/>
  </r>
  <r>
    <n v="3488"/>
    <s v="Tânia Ribeiro"/>
    <x v="2"/>
    <d v="2024-11-09T00:00:00"/>
    <x v="0"/>
    <n v="10"/>
    <x v="1"/>
    <s v="No"/>
    <s v="-"/>
    <s v="Yes"/>
    <n v="20"/>
    <x v="1"/>
    <x v="2"/>
    <x v="0"/>
    <n v="20"/>
  </r>
  <r>
    <n v="3489"/>
    <s v="Ugo Dias"/>
    <x v="1"/>
    <d v="2024-11-10T00:00:00"/>
    <x v="1"/>
    <n v="5"/>
    <x v="2"/>
    <s v="No"/>
    <s v="-"/>
    <s v="No"/>
    <n v="0"/>
    <x v="1"/>
    <x v="4"/>
    <x v="0"/>
    <n v="4"/>
  </r>
  <r>
    <n v="3490"/>
    <s v="Valéria Lima"/>
    <x v="0"/>
    <d v="2024-11-11T00:00:00"/>
    <x v="0"/>
    <n v="15"/>
    <x v="0"/>
    <s v="Yes"/>
    <n v="30"/>
    <s v="Yes"/>
    <n v="20"/>
    <x v="0"/>
    <x v="6"/>
    <x v="0"/>
    <n v="50"/>
  </r>
  <r>
    <n v="3491"/>
    <s v="William Fernandes"/>
    <x v="2"/>
    <d v="2024-11-12T00:00:00"/>
    <x v="1"/>
    <n v="10"/>
    <x v="0"/>
    <s v="No"/>
    <s v="-"/>
    <s v="Yes"/>
    <n v="20"/>
    <x v="1"/>
    <x v="0"/>
    <x v="0"/>
    <n v="25"/>
  </r>
  <r>
    <n v="3492"/>
    <s v="Xuxa Mendes"/>
    <x v="1"/>
    <d v="2024-11-13T00:00:00"/>
    <x v="0"/>
    <n v="5"/>
    <x v="1"/>
    <s v="No"/>
    <s v="-"/>
    <s v="No"/>
    <n v="0"/>
    <x v="1"/>
    <x v="1"/>
    <x v="1"/>
    <n v="5"/>
  </r>
  <r>
    <n v="3493"/>
    <s v="Ygor Farias"/>
    <x v="0"/>
    <d v="2024-11-14T00:00:00"/>
    <x v="1"/>
    <n v="15"/>
    <x v="2"/>
    <s v="Yes"/>
    <n v="30"/>
    <s v="Yes"/>
    <n v="20"/>
    <x v="0"/>
    <x v="7"/>
    <x v="0"/>
    <n v="45"/>
  </r>
  <r>
    <n v="3494"/>
    <s v="Zilda Barros"/>
    <x v="2"/>
    <d v="2024-11-15T00:00:00"/>
    <x v="0"/>
    <n v="10"/>
    <x v="2"/>
    <s v="No"/>
    <s v="-"/>
    <s v="Yes"/>
    <n v="20"/>
    <x v="1"/>
    <x v="9"/>
    <x v="0"/>
    <n v="18"/>
  </r>
  <r>
    <n v="3495"/>
    <s v="Amanda Santos"/>
    <x v="1"/>
    <d v="2024-11-16T00:00:00"/>
    <x v="1"/>
    <n v="5"/>
    <x v="0"/>
    <s v="No"/>
    <s v="-"/>
    <s v="No"/>
    <n v="0"/>
    <x v="1"/>
    <x v="5"/>
    <x v="0"/>
    <n v="3"/>
  </r>
  <r>
    <n v="3496"/>
    <s v="Bruno Costa"/>
    <x v="0"/>
    <d v="2024-11-17T00:00:00"/>
    <x v="0"/>
    <n v="15"/>
    <x v="1"/>
    <s v="Yes"/>
    <n v="30"/>
    <s v="Yes"/>
    <n v="20"/>
    <x v="0"/>
    <x v="0"/>
    <x v="0"/>
    <n v="60"/>
  </r>
  <r>
    <n v="3497"/>
    <s v="Carla Rodrigues"/>
    <x v="2"/>
    <d v="2024-11-18T00:00:00"/>
    <x v="1"/>
    <n v="10"/>
    <x v="0"/>
    <s v="No"/>
    <s v="-"/>
    <s v="Yes"/>
    <n v="20"/>
    <x v="1"/>
    <x v="2"/>
    <x v="0"/>
    <n v="20"/>
  </r>
  <r>
    <n v="3498"/>
    <s v="Diogo Pereira"/>
    <x v="1"/>
    <d v="2024-11-19T00:00:00"/>
    <x v="0"/>
    <n v="5"/>
    <x v="2"/>
    <s v="No"/>
    <s v="-"/>
    <s v="No"/>
    <n v="0"/>
    <x v="1"/>
    <x v="1"/>
    <x v="1"/>
    <n v="5"/>
  </r>
  <r>
    <n v="3499"/>
    <s v="Elisa Correia"/>
    <x v="0"/>
    <d v="2024-11-20T00:00:00"/>
    <x v="1"/>
    <n v="15"/>
    <x v="0"/>
    <s v="Yes"/>
    <n v="30"/>
    <s v="Yes"/>
    <n v="20"/>
    <x v="0"/>
    <x v="3"/>
    <x v="0"/>
    <n v="62"/>
  </r>
  <r>
    <n v="3500"/>
    <s v="Fábio Lourenço"/>
    <x v="2"/>
    <d v="2024-11-21T00:00:00"/>
    <x v="0"/>
    <n v="10"/>
    <x v="1"/>
    <s v="No"/>
    <s v="-"/>
    <s v="Yes"/>
    <n v="20"/>
    <x v="1"/>
    <x v="6"/>
    <x v="0"/>
    <n v="15"/>
  </r>
  <r>
    <n v="3501"/>
    <s v="Gabriela Neves"/>
    <x v="1"/>
    <d v="2024-11-22T00:00:00"/>
    <x v="1"/>
    <n v="5"/>
    <x v="0"/>
    <s v="No"/>
    <s v="-"/>
    <s v="No"/>
    <n v="0"/>
    <x v="1"/>
    <x v="4"/>
    <x v="0"/>
    <n v="4"/>
  </r>
  <r>
    <n v="3502"/>
    <s v="Henrique Gonçalves"/>
    <x v="0"/>
    <d v="2024-11-23T00:00:00"/>
    <x v="0"/>
    <n v="15"/>
    <x v="2"/>
    <s v="Yes"/>
    <n v="30"/>
    <s v="Yes"/>
    <n v="20"/>
    <x v="0"/>
    <x v="10"/>
    <x v="0"/>
    <n v="58"/>
  </r>
  <r>
    <n v="3503"/>
    <s v="Íris Santos"/>
    <x v="2"/>
    <d v="2024-11-24T00:00:00"/>
    <x v="1"/>
    <n v="10"/>
    <x v="0"/>
    <s v="No"/>
    <s v="-"/>
    <s v="Yes"/>
    <n v="20"/>
    <x v="1"/>
    <x v="2"/>
    <x v="0"/>
    <n v="20"/>
  </r>
  <r>
    <n v="3504"/>
    <s v="João Marcelo Alves"/>
    <x v="1"/>
    <d v="2024-11-25T00:00:00"/>
    <x v="0"/>
    <n v="5"/>
    <x v="1"/>
    <s v="No"/>
    <s v="-"/>
    <s v="No"/>
    <n v="0"/>
    <x v="1"/>
    <x v="1"/>
    <x v="1"/>
    <n v="5"/>
  </r>
  <r>
    <n v="3505"/>
    <s v="Klara Fonseca"/>
    <x v="0"/>
    <d v="2024-11-26T00:00:00"/>
    <x v="1"/>
    <n v="15"/>
    <x v="0"/>
    <s v="Yes"/>
    <n v="30"/>
    <s v="Yes"/>
    <n v="20"/>
    <x v="0"/>
    <x v="7"/>
    <x v="0"/>
    <n v="45"/>
  </r>
  <r>
    <n v="3506"/>
    <s v="Lucas Mendonça"/>
    <x v="2"/>
    <d v="2024-11-27T00:00:00"/>
    <x v="0"/>
    <n v="10"/>
    <x v="2"/>
    <s v="No"/>
    <s v="-"/>
    <s v="Yes"/>
    <n v="20"/>
    <x v="1"/>
    <x v="6"/>
    <x v="0"/>
    <n v="15"/>
  </r>
  <r>
    <n v="3507"/>
    <s v="Marcela Torres"/>
    <x v="1"/>
    <d v="2024-11-28T00:00:00"/>
    <x v="1"/>
    <n v="5"/>
    <x v="0"/>
    <s v="No"/>
    <s v="-"/>
    <s v="No"/>
    <n v="0"/>
    <x v="1"/>
    <x v="4"/>
    <x v="0"/>
    <n v="4"/>
  </r>
  <r>
    <n v="3508"/>
    <s v="Natália Castro"/>
    <x v="0"/>
    <d v="2024-11-29T00:00:00"/>
    <x v="0"/>
    <n v="15"/>
    <x v="1"/>
    <s v="Yes"/>
    <n v="30"/>
    <s v="Yes"/>
    <n v="20"/>
    <x v="0"/>
    <x v="3"/>
    <x v="0"/>
    <n v="62"/>
  </r>
  <r>
    <n v="3509"/>
    <s v="Oscar Martins"/>
    <x v="2"/>
    <d v="2024-11-30T00:00:00"/>
    <x v="1"/>
    <n v="10"/>
    <x v="0"/>
    <s v="No"/>
    <s v="-"/>
    <s v="Yes"/>
    <n v="20"/>
    <x v="1"/>
    <x v="2"/>
    <x v="0"/>
    <n v="20"/>
  </r>
  <r>
    <n v="3510"/>
    <s v="Patrícia Oliveira"/>
    <x v="1"/>
    <d v="2024-12-01T00:00:00"/>
    <x v="0"/>
    <n v="5"/>
    <x v="2"/>
    <s v="No"/>
    <s v="-"/>
    <s v="No"/>
    <n v="0"/>
    <x v="1"/>
    <x v="1"/>
    <x v="1"/>
    <n v="5"/>
  </r>
  <r>
    <n v="3511"/>
    <s v="Quentin Nogueira"/>
    <x v="0"/>
    <d v="2024-12-02T00:00:00"/>
    <x v="1"/>
    <n v="15"/>
    <x v="0"/>
    <s v="Yes"/>
    <n v="30"/>
    <s v="Yes"/>
    <n v="20"/>
    <x v="0"/>
    <x v="6"/>
    <x v="0"/>
    <n v="50"/>
  </r>
  <r>
    <n v="3512"/>
    <s v="Raquel Silva"/>
    <x v="2"/>
    <d v="2024-12-03T00:00:00"/>
    <x v="0"/>
    <n v="10"/>
    <x v="1"/>
    <s v="No"/>
    <s v="-"/>
    <s v="Yes"/>
    <n v="20"/>
    <x v="1"/>
    <x v="6"/>
    <x v="0"/>
    <n v="15"/>
  </r>
  <r>
    <n v="3513"/>
    <s v="Sandro Gomes"/>
    <x v="1"/>
    <d v="2024-12-04T00:00:00"/>
    <x v="1"/>
    <n v="5"/>
    <x v="0"/>
    <s v="No"/>
    <s v="-"/>
    <s v="No"/>
    <n v="0"/>
    <x v="1"/>
    <x v="4"/>
    <x v="0"/>
    <n v="4"/>
  </r>
  <r>
    <n v="3514"/>
    <s v="Tânia Machado"/>
    <x v="0"/>
    <d v="2024-12-05T00:00:00"/>
    <x v="0"/>
    <n v="15"/>
    <x v="2"/>
    <s v="Yes"/>
    <n v="30"/>
    <s v="Yes"/>
    <n v="20"/>
    <x v="0"/>
    <x v="10"/>
    <x v="0"/>
    <n v="58"/>
  </r>
  <r>
    <n v="3515"/>
    <s v="Ursula Silva"/>
    <x v="2"/>
    <d v="2024-12-06T00:00:00"/>
    <x v="1"/>
    <n v="10"/>
    <x v="0"/>
    <s v="No"/>
    <s v="-"/>
    <s v="Yes"/>
    <n v="20"/>
    <x v="1"/>
    <x v="2"/>
    <x v="0"/>
    <n v="20"/>
  </r>
  <r>
    <n v="3516"/>
    <s v="Vanessa Moraes"/>
    <x v="1"/>
    <d v="2024-12-07T00:00:00"/>
    <x v="0"/>
    <n v="5"/>
    <x v="1"/>
    <s v="No"/>
    <s v="-"/>
    <s v="No"/>
    <n v="0"/>
    <x v="1"/>
    <x v="1"/>
    <x v="1"/>
    <n v="5"/>
  </r>
  <r>
    <n v="3517"/>
    <s v="William Carvalho"/>
    <x v="0"/>
    <d v="2024-12-08T00:00:00"/>
    <x v="1"/>
    <n v="15"/>
    <x v="0"/>
    <s v="Yes"/>
    <n v="30"/>
    <s v="Yes"/>
    <n v="20"/>
    <x v="0"/>
    <x v="7"/>
    <x v="0"/>
    <n v="45"/>
  </r>
  <r>
    <n v="3518"/>
    <s v="Xavier Reis"/>
    <x v="2"/>
    <d v="2024-12-09T00:00:00"/>
    <x v="0"/>
    <n v="10"/>
    <x v="2"/>
    <s v="No"/>
    <s v="-"/>
    <s v="Yes"/>
    <n v="20"/>
    <x v="1"/>
    <x v="9"/>
    <x v="0"/>
    <n v="18"/>
  </r>
  <r>
    <n v="3519"/>
    <s v="Yasmin Rocha"/>
    <x v="1"/>
    <d v="2024-12-10T00:00:00"/>
    <x v="1"/>
    <n v="5"/>
    <x v="0"/>
    <s v="No"/>
    <s v="-"/>
    <s v="No"/>
    <n v="0"/>
    <x v="1"/>
    <x v="5"/>
    <x v="0"/>
    <n v="3"/>
  </r>
  <r>
    <n v="3520"/>
    <s v="Zacarias Duarte"/>
    <x v="0"/>
    <d v="2024-12-11T00:00:00"/>
    <x v="0"/>
    <n v="15"/>
    <x v="1"/>
    <s v="Yes"/>
    <n v="30"/>
    <s v="Yes"/>
    <n v="20"/>
    <x v="0"/>
    <x v="0"/>
    <x v="0"/>
    <n v="60"/>
  </r>
  <r>
    <n v="3521"/>
    <s v="Amanda Freitas"/>
    <x v="2"/>
    <d v="2024-12-12T00:00:00"/>
    <x v="1"/>
    <n v="10"/>
    <x v="0"/>
    <s v="No"/>
    <s v="-"/>
    <s v="Yes"/>
    <n v="20"/>
    <x v="1"/>
    <x v="2"/>
    <x v="0"/>
    <n v="20"/>
  </r>
  <r>
    <n v="3522"/>
    <s v="Bruno Almeida"/>
    <x v="1"/>
    <d v="2024-12-13T00:00:00"/>
    <x v="0"/>
    <n v="5"/>
    <x v="2"/>
    <s v="No"/>
    <s v="-"/>
    <s v="No"/>
    <n v="0"/>
    <x v="1"/>
    <x v="1"/>
    <x v="1"/>
    <n v="5"/>
  </r>
  <r>
    <n v="3523"/>
    <s v="Carla Siqueira"/>
    <x v="0"/>
    <d v="2024-12-14T00:00:00"/>
    <x v="1"/>
    <n v="15"/>
    <x v="0"/>
    <s v="Yes"/>
    <n v="30"/>
    <s v="Yes"/>
    <n v="20"/>
    <x v="0"/>
    <x v="3"/>
    <x v="0"/>
    <n v="62"/>
  </r>
  <r>
    <n v="3524"/>
    <s v="Diogo Ramos"/>
    <x v="2"/>
    <d v="2024-12-15T00:00:00"/>
    <x v="0"/>
    <n v="10"/>
    <x v="1"/>
    <s v="No"/>
    <s v="-"/>
    <s v="Yes"/>
    <n v="20"/>
    <x v="1"/>
    <x v="6"/>
    <x v="0"/>
    <n v="15"/>
  </r>
  <r>
    <n v="3525"/>
    <s v="Elisa Magalhães"/>
    <x v="1"/>
    <d v="2024-12-16T00:00:00"/>
    <x v="1"/>
    <n v="5"/>
    <x v="0"/>
    <s v="No"/>
    <s v="-"/>
    <s v="No"/>
    <n v="0"/>
    <x v="1"/>
    <x v="4"/>
    <x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58333-A825-406F-B442-15AF71777331}" name="Tabela dinâmica6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45:C48" firstHeaderRow="1" firstDataRow="1" firstDataCol="1" rowPageCount="1" colPageCount="1"/>
  <pivotFields count="15">
    <pivotField showAll="0"/>
    <pivotField showAll="0"/>
    <pivotField axis="axisPage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showAll="0"/>
    <pivotField numFmtId="4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axis="axisRow" showAll="0">
      <items count="3">
        <item x="1"/>
        <item x="0"/>
        <item t="default"/>
      </items>
    </pivotField>
    <pivotField dataField="1" numFmtId="44" showAll="0"/>
  </pivotFields>
  <rowFields count="1">
    <field x="1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Média de Total Value" fld="14" subtotal="average" baseField="12" baseItem="0" numFmtId="44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ED9D14-D254-4F80-8749-1D96933DF5D7}" name="Tabela dinâmica5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B16:C20" firstHeaderRow="1" firstDataRow="1" firstDataCol="1" rowPageCount="1" colPageCount="1"/>
  <pivotFields count="15"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showAll="0"/>
    <pivotField numFmtId="44" showAll="0"/>
    <pivotField showAll="0"/>
    <pivotField dataField="1" numFmtId="44" showAll="0"/>
  </pivotFields>
  <rowFields count="1">
    <field x="2"/>
  </rowFields>
  <rowItems count="4">
    <i>
      <x v="2"/>
    </i>
    <i>
      <x v="1"/>
    </i>
    <i>
      <x/>
    </i>
    <i t="grand">
      <x/>
    </i>
  </rowItems>
  <colItems count="1">
    <i/>
  </colItems>
  <pageFields count="1">
    <pageField fld="6" hier="-1"/>
  </pageFields>
  <dataFields count="1">
    <dataField name="Média de Total Value" fld="14" subtotal="average" baseField="2" baseItem="0" numFmtId="44"/>
  </dataFields>
  <chartFormats count="1"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0E530D-4F9E-42E1-A8B0-BA3DC43C5E60}" name="Tabela dinâmica3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35:C38" firstHeaderRow="1" firstDataRow="1" firstDataCol="1" rowPageCount="1" colPageCount="1"/>
  <pivotFields count="15">
    <pivotField showAll="0"/>
    <pivotField showAll="0"/>
    <pivotField axis="axisPage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axis="axisRow" showAll="0">
      <items count="3">
        <item x="1"/>
        <item x="0"/>
        <item t="default"/>
      </items>
    </pivotField>
    <pivotField numFmtId="44" showAll="0"/>
    <pivotField showAll="0"/>
    <pivotField dataField="1" numFmtId="44" showAll="0"/>
  </pivotFields>
  <rowFields count="1">
    <field x="11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Média de Total Value" fld="14" subtotal="average" baseField="11" baseItem="0" numFmtId="44"/>
  </dataFields>
  <chartFormats count="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D74A48-EE18-4E8F-B7A4-7CB917B48C3F}" name="tbl_easeasonpass_total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B25:C28" firstHeaderRow="1" firstDataRow="1" firstDataCol="1" rowPageCount="1" colPageCount="1"/>
  <pivotFields count="15">
    <pivotField showAll="0"/>
    <pivotField showAll="0"/>
    <pivotField axis="axisPage"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showAll="0"/>
    <pivotField numFmtId="44" showAll="0"/>
    <pivotField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Média de Total Value" fld="14" subtotal="average" baseField="4" baseItem="0" numFmtId="44"/>
  </dataFields>
  <chartFormats count="4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EA1016-2E7C-4EDE-A43E-802F962324B1}" name="tbl_annual_total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B5:C9" firstHeaderRow="1" firstDataRow="1" firstDataCol="1" rowPageCount="1" colPageCount="1"/>
  <pivotFields count="15"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showAll="0"/>
    <pivotField numFmtId="44" showAll="0"/>
    <pivotField showAll="0"/>
    <pivotField dataField="1" numFmtId="44" showAll="0"/>
  </pivotFields>
  <rowFields count="1">
    <field x="2"/>
  </rowFields>
  <rowItems count="4">
    <i>
      <x v="2"/>
    </i>
    <i>
      <x v="1"/>
    </i>
    <i>
      <x/>
    </i>
    <i t="grand">
      <x/>
    </i>
  </rowItems>
  <colItems count="1">
    <i/>
  </colItems>
  <pageFields count="1">
    <pageField fld="6" item="0" hier="-1"/>
  </pageFields>
  <dataFields count="1">
    <dataField name="Soma de Total Value" fld="14" baseField="0" baseItem="0" numFmtId="44"/>
  </dataFields>
  <chartFormats count="4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DC31D2B-FBBE-48CF-907E-8EF1F7292DD9}" sourceName="Subscription Type">
  <pivotTables>
    <pivotTable tabId="3" name="tbl_annual_total"/>
    <pivotTable tabId="3" name="tbl_easeasonpass_total"/>
    <pivotTable tabId="3" name="Tabela dinâmica3"/>
    <pivotTable tabId="3" name="Tabela dinâmica5"/>
    <pivotTable tabId="3" name="Tabela dinâmica6"/>
  </pivotTables>
  <data>
    <tabular pivotCacheId="1141063788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6B32977-E617-49D2-A3BB-A356BC6AFB35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O296" totalsRowShown="0" dataDxfId="17">
  <autoFilter ref="A1:O296" xr:uid="{34E0E886-4200-4B36-97B3-63DB74FF40A0}"/>
  <tableColumns count="15">
    <tableColumn id="1" xr3:uid="{C4A90516-688A-46BF-9167-EA16C2A8A652}" name="Subscriber ID" dataDxfId="16"/>
    <tableColumn id="2" xr3:uid="{53DD39D0-2220-4121-9E9D-4EAA7E151C0F}" name="Name" dataDxfId="15"/>
    <tableColumn id="3" xr3:uid="{4F5FF271-4C57-4BE0-8F2C-F82C8551625C}" name="Plan" dataDxfId="14"/>
    <tableColumn id="4" xr3:uid="{8C17EB93-79B9-4E55-B8F7-BEB82F8253E9}" name="Start Date" dataDxfId="13"/>
    <tableColumn id="5" xr3:uid="{48CEDF9B-1689-482A-A828-5CCE7713264A}" name="Auto Renewal" dataDxfId="12"/>
    <tableColumn id="6" xr3:uid="{78B82374-9AA7-4E38-AE4F-78CDE6C83720}" name="Subscription Price" dataDxfId="11" dataCellStyle="Moeda"/>
    <tableColumn id="7" xr3:uid="{F2433F68-AF33-49D0-B1FB-19A396074EDE}" name="Subscription Type" dataDxfId="10"/>
    <tableColumn id="8" xr3:uid="{FD4D9C95-F6E5-4933-9068-A71FF7DF9343}" name="EA Play Season Pass" dataDxfId="9"/>
    <tableColumn id="13" xr3:uid="{978DD0D2-834E-4CE4-A39B-30976086932F}" name="EA Play Season Pass_x000a_Price" dataDxfId="8" dataCellStyle="Moeda"/>
    <tableColumn id="9" xr3:uid="{6E29F111-C395-4580-9DAD-3407D9E8B1A4}" name="Minecraft Season Pass" dataDxfId="7"/>
    <tableColumn id="10" xr3:uid="{EF544EAA-7F25-4FD5-A10E-8E62804DB9E3}" name="Minecraft Season Pass Price" dataDxfId="6" dataCellStyle="Moeda"/>
    <tableColumn id="14" xr3:uid="{B03ABF8E-A362-476C-894C-65EA9D5224CD}" name="Has Season Pass" dataDxfId="1" dataCellStyle="Moeda">
      <calculatedColumnFormula>IF(OR(F2="Yes", H2="Yes"), "Yes", "No")</calculatedColumnFormula>
    </tableColumn>
    <tableColumn id="11" xr3:uid="{7F6EB64A-1F07-4E48-9F0F-AC7D9DCD26F8}" name="Coupon Value" dataDxfId="5" dataCellStyle="Moeda"/>
    <tableColumn id="15" xr3:uid="{0B59A499-670B-41FD-B21D-34EC6AEA9686}" name="Coupon Used" dataDxfId="0" dataCellStyle="Moeda">
      <calculatedColumnFormula>IF(OR(M2="",M2=0),"No","Yes")</calculatedColumnFormula>
    </tableColumn>
    <tableColumn id="12" xr3:uid="{2B04ABC8-DE6F-426E-ADC0-D8AFC68CA58E}" name="Total Value" dataDxfId="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F33" sqref="F33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1</v>
      </c>
      <c r="C5" t="s">
        <v>2</v>
      </c>
      <c r="E5" s="7" t="s">
        <v>3</v>
      </c>
      <c r="F5" t="s">
        <v>4</v>
      </c>
    </row>
    <row r="6" spans="2:16" x14ac:dyDescent="0.25">
      <c r="B6" s="4" t="s">
        <v>5</v>
      </c>
      <c r="C6" t="s">
        <v>2</v>
      </c>
    </row>
    <row r="7" spans="2:16" x14ac:dyDescent="0.25">
      <c r="B7" s="5" t="s">
        <v>6</v>
      </c>
      <c r="C7" t="s">
        <v>7</v>
      </c>
    </row>
    <row r="8" spans="2:16" x14ac:dyDescent="0.25">
      <c r="B8" s="6" t="s">
        <v>8</v>
      </c>
      <c r="C8" t="s">
        <v>7</v>
      </c>
    </row>
    <row r="12" spans="2:16" ht="20.25" thickBot="1" x14ac:dyDescent="0.3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O296"/>
  <sheetViews>
    <sheetView zoomScale="90" zoomScaleNormal="90" workbookViewId="0">
      <selection activeCell="N2" sqref="N2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21.28515625" customWidth="1"/>
    <col min="13" max="13" width="12.7109375" bestFit="1" customWidth="1"/>
    <col min="14" max="14" width="12.7109375" customWidth="1"/>
    <col min="15" max="15" width="10.5703125" bestFit="1" customWidth="1"/>
  </cols>
  <sheetData>
    <row r="1" spans="1:15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326</v>
      </c>
      <c r="M1" s="9" t="s">
        <v>22</v>
      </c>
      <c r="N1" s="9" t="s">
        <v>325</v>
      </c>
      <c r="O1" s="9" t="s">
        <v>23</v>
      </c>
    </row>
    <row r="2" spans="1:15" ht="16.5" customHeight="1" x14ac:dyDescent="0.25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 t="str">
        <f t="shared" ref="L2:L65" si="0">IF(OR(F2="Yes", H2="Yes"), "Yes", "No")</f>
        <v>Yes</v>
      </c>
      <c r="M2" s="11">
        <v>5</v>
      </c>
      <c r="N2" s="11" t="str">
        <f t="shared" ref="N2:N65" si="1">IF(OR(M2="",M2=0),"No","Yes")</f>
        <v>Yes</v>
      </c>
      <c r="O2" s="11">
        <v>60</v>
      </c>
    </row>
    <row r="3" spans="1:15" ht="16.5" customHeight="1" x14ac:dyDescent="0.25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 t="str">
        <f t="shared" si="0"/>
        <v>No</v>
      </c>
      <c r="M3" s="11">
        <v>0</v>
      </c>
      <c r="N3" s="11" t="str">
        <f t="shared" si="1"/>
        <v>No</v>
      </c>
      <c r="O3" s="11">
        <v>5</v>
      </c>
    </row>
    <row r="4" spans="1:15" ht="16.5" customHeight="1" x14ac:dyDescent="0.25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 t="str">
        <f t="shared" si="0"/>
        <v>No</v>
      </c>
      <c r="M4" s="11">
        <v>10</v>
      </c>
      <c r="N4" s="11" t="str">
        <f t="shared" si="1"/>
        <v>Yes</v>
      </c>
      <c r="O4" s="11">
        <v>20</v>
      </c>
    </row>
    <row r="5" spans="1:15" ht="16.5" customHeight="1" x14ac:dyDescent="0.25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 t="str">
        <f t="shared" si="0"/>
        <v>Yes</v>
      </c>
      <c r="M5" s="11">
        <v>3</v>
      </c>
      <c r="N5" s="11" t="str">
        <f t="shared" si="1"/>
        <v>Yes</v>
      </c>
      <c r="O5" s="11">
        <v>62</v>
      </c>
    </row>
    <row r="6" spans="1:15" ht="16.5" customHeight="1" x14ac:dyDescent="0.25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 t="str">
        <f t="shared" si="0"/>
        <v>No</v>
      </c>
      <c r="M6" s="11">
        <v>1</v>
      </c>
      <c r="N6" s="11" t="str">
        <f t="shared" si="1"/>
        <v>Yes</v>
      </c>
      <c r="O6" s="11">
        <v>4</v>
      </c>
    </row>
    <row r="7" spans="1:15" ht="16.5" customHeight="1" x14ac:dyDescent="0.25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 t="str">
        <f t="shared" si="0"/>
        <v>No</v>
      </c>
      <c r="M7" s="11">
        <v>2</v>
      </c>
      <c r="N7" s="11" t="str">
        <f t="shared" si="1"/>
        <v>Yes</v>
      </c>
      <c r="O7" s="11">
        <v>28</v>
      </c>
    </row>
    <row r="8" spans="1:15" ht="16.5" customHeight="1" x14ac:dyDescent="0.25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 t="str">
        <f t="shared" si="0"/>
        <v>Yes</v>
      </c>
      <c r="M8" s="11">
        <v>10</v>
      </c>
      <c r="N8" s="11" t="str">
        <f t="shared" si="1"/>
        <v>Yes</v>
      </c>
      <c r="O8" s="11">
        <v>55</v>
      </c>
    </row>
    <row r="9" spans="1:15" ht="16.5" customHeight="1" x14ac:dyDescent="0.25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 t="str">
        <f t="shared" si="0"/>
        <v>No</v>
      </c>
      <c r="M9" s="11">
        <v>0</v>
      </c>
      <c r="N9" s="11" t="str">
        <f t="shared" si="1"/>
        <v>No</v>
      </c>
      <c r="O9" s="11">
        <v>5</v>
      </c>
    </row>
    <row r="10" spans="1:15" ht="16.5" customHeight="1" x14ac:dyDescent="0.25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 t="str">
        <f t="shared" si="0"/>
        <v>Yes</v>
      </c>
      <c r="M10" s="11">
        <v>5</v>
      </c>
      <c r="N10" s="11" t="str">
        <f t="shared" si="1"/>
        <v>Yes</v>
      </c>
      <c r="O10" s="11">
        <v>60</v>
      </c>
    </row>
    <row r="11" spans="1:15" ht="16.5" customHeight="1" x14ac:dyDescent="0.25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 t="str">
        <f t="shared" si="0"/>
        <v>No</v>
      </c>
      <c r="M11" s="11">
        <v>15</v>
      </c>
      <c r="N11" s="11" t="str">
        <f t="shared" si="1"/>
        <v>Yes</v>
      </c>
      <c r="O11" s="11">
        <v>15</v>
      </c>
    </row>
    <row r="12" spans="1:15" ht="16.5" customHeight="1" x14ac:dyDescent="0.25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 t="str">
        <f t="shared" si="0"/>
        <v>No</v>
      </c>
      <c r="M12" s="11">
        <v>1</v>
      </c>
      <c r="N12" s="11" t="str">
        <f t="shared" si="1"/>
        <v>Yes</v>
      </c>
      <c r="O12" s="11">
        <v>4</v>
      </c>
    </row>
    <row r="13" spans="1:15" ht="16.5" customHeight="1" x14ac:dyDescent="0.25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 t="str">
        <f t="shared" si="0"/>
        <v>Yes</v>
      </c>
      <c r="M13" s="11">
        <v>20</v>
      </c>
      <c r="N13" s="11" t="str">
        <f t="shared" si="1"/>
        <v>Yes</v>
      </c>
      <c r="O13" s="11">
        <v>45</v>
      </c>
    </row>
    <row r="14" spans="1:15" ht="16.5" customHeight="1" x14ac:dyDescent="0.25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 t="str">
        <f t="shared" si="0"/>
        <v>No</v>
      </c>
      <c r="M14" s="11">
        <v>10</v>
      </c>
      <c r="N14" s="11" t="str">
        <f t="shared" si="1"/>
        <v>Yes</v>
      </c>
      <c r="O14" s="11">
        <v>20</v>
      </c>
    </row>
    <row r="15" spans="1:15" ht="16.5" customHeight="1" x14ac:dyDescent="0.25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 t="str">
        <f t="shared" si="0"/>
        <v>No</v>
      </c>
      <c r="M15" s="11">
        <v>0</v>
      </c>
      <c r="N15" s="11" t="str">
        <f t="shared" si="1"/>
        <v>No</v>
      </c>
      <c r="O15" s="11">
        <v>5</v>
      </c>
    </row>
    <row r="16" spans="1:15" ht="16.5" customHeight="1" x14ac:dyDescent="0.25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 t="str">
        <f t="shared" si="0"/>
        <v>Yes</v>
      </c>
      <c r="M16" s="11">
        <v>8</v>
      </c>
      <c r="N16" s="11" t="str">
        <f t="shared" si="1"/>
        <v>Yes</v>
      </c>
      <c r="O16" s="11">
        <v>57</v>
      </c>
    </row>
    <row r="17" spans="1:15" ht="16.5" customHeight="1" x14ac:dyDescent="0.25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 t="str">
        <f t="shared" si="0"/>
        <v>No</v>
      </c>
      <c r="M17" s="11">
        <v>12</v>
      </c>
      <c r="N17" s="11" t="str">
        <f t="shared" si="1"/>
        <v>Yes</v>
      </c>
      <c r="O17" s="11">
        <v>18</v>
      </c>
    </row>
    <row r="18" spans="1:15" ht="16.5" customHeight="1" x14ac:dyDescent="0.25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 t="str">
        <f t="shared" si="0"/>
        <v>No</v>
      </c>
      <c r="M18" s="11">
        <v>2</v>
      </c>
      <c r="N18" s="11" t="str">
        <f t="shared" si="1"/>
        <v>Yes</v>
      </c>
      <c r="O18" s="11">
        <v>3</v>
      </c>
    </row>
    <row r="19" spans="1:15" ht="16.5" customHeight="1" x14ac:dyDescent="0.25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 t="str">
        <f t="shared" si="0"/>
        <v>Yes</v>
      </c>
      <c r="M19" s="11">
        <v>7</v>
      </c>
      <c r="N19" s="11" t="str">
        <f t="shared" si="1"/>
        <v>Yes</v>
      </c>
      <c r="O19" s="11">
        <v>58</v>
      </c>
    </row>
    <row r="20" spans="1:15" ht="16.5" customHeight="1" x14ac:dyDescent="0.25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 t="str">
        <f t="shared" si="0"/>
        <v>No</v>
      </c>
      <c r="M20" s="11">
        <v>5</v>
      </c>
      <c r="N20" s="11" t="str">
        <f t="shared" si="1"/>
        <v>Yes</v>
      </c>
      <c r="O20" s="11">
        <v>25</v>
      </c>
    </row>
    <row r="21" spans="1:15" ht="16.5" customHeight="1" x14ac:dyDescent="0.25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 t="str">
        <f t="shared" si="0"/>
        <v>No</v>
      </c>
      <c r="M21" s="11">
        <v>0</v>
      </c>
      <c r="N21" s="11" t="str">
        <f t="shared" si="1"/>
        <v>No</v>
      </c>
      <c r="O21" s="11">
        <v>5</v>
      </c>
    </row>
    <row r="22" spans="1:15" ht="16.5" customHeight="1" x14ac:dyDescent="0.25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 t="str">
        <f t="shared" si="0"/>
        <v>Yes</v>
      </c>
      <c r="M22" s="11">
        <v>3</v>
      </c>
      <c r="N22" s="11" t="str">
        <f t="shared" si="1"/>
        <v>Yes</v>
      </c>
      <c r="O22" s="11">
        <v>62</v>
      </c>
    </row>
    <row r="23" spans="1:15" ht="16.5" customHeight="1" x14ac:dyDescent="0.25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 t="str">
        <f t="shared" si="0"/>
        <v>No</v>
      </c>
      <c r="M23" s="11">
        <v>15</v>
      </c>
      <c r="N23" s="11" t="str">
        <f t="shared" si="1"/>
        <v>Yes</v>
      </c>
      <c r="O23" s="11">
        <v>15</v>
      </c>
    </row>
    <row r="24" spans="1:15" ht="16.5" customHeight="1" x14ac:dyDescent="0.25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 t="str">
        <f t="shared" si="0"/>
        <v>No</v>
      </c>
      <c r="M24" s="11">
        <v>1</v>
      </c>
      <c r="N24" s="11" t="str">
        <f t="shared" si="1"/>
        <v>Yes</v>
      </c>
      <c r="O24" s="11">
        <v>4</v>
      </c>
    </row>
    <row r="25" spans="1:15" ht="16.5" customHeight="1" x14ac:dyDescent="0.25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 t="str">
        <f t="shared" si="0"/>
        <v>Yes</v>
      </c>
      <c r="M25" s="11">
        <v>20</v>
      </c>
      <c r="N25" s="11" t="str">
        <f t="shared" si="1"/>
        <v>Yes</v>
      </c>
      <c r="O25" s="11">
        <v>45</v>
      </c>
    </row>
    <row r="26" spans="1:15" ht="16.5" customHeight="1" x14ac:dyDescent="0.25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 t="str">
        <f t="shared" si="0"/>
        <v>No</v>
      </c>
      <c r="M26" s="11">
        <v>10</v>
      </c>
      <c r="N26" s="11" t="str">
        <f t="shared" si="1"/>
        <v>Yes</v>
      </c>
      <c r="O26" s="11">
        <v>20</v>
      </c>
    </row>
    <row r="27" spans="1:15" ht="16.5" customHeight="1" x14ac:dyDescent="0.25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 t="str">
        <f t="shared" si="0"/>
        <v>No</v>
      </c>
      <c r="M27" s="11">
        <v>0</v>
      </c>
      <c r="N27" s="11" t="str">
        <f t="shared" si="1"/>
        <v>No</v>
      </c>
      <c r="O27" s="11">
        <v>5</v>
      </c>
    </row>
    <row r="28" spans="1:15" ht="16.5" customHeight="1" x14ac:dyDescent="0.25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 t="str">
        <f t="shared" si="0"/>
        <v>Yes</v>
      </c>
      <c r="M28" s="11">
        <v>5</v>
      </c>
      <c r="N28" s="11" t="str">
        <f t="shared" si="1"/>
        <v>Yes</v>
      </c>
      <c r="O28" s="11">
        <v>60</v>
      </c>
    </row>
    <row r="29" spans="1:15" ht="16.5" customHeight="1" x14ac:dyDescent="0.25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 t="str">
        <f t="shared" si="0"/>
        <v>No</v>
      </c>
      <c r="M29" s="11">
        <v>15</v>
      </c>
      <c r="N29" s="11" t="str">
        <f t="shared" si="1"/>
        <v>Yes</v>
      </c>
      <c r="O29" s="11">
        <v>15</v>
      </c>
    </row>
    <row r="30" spans="1:15" ht="16.5" customHeight="1" x14ac:dyDescent="0.25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 t="str">
        <f t="shared" si="0"/>
        <v>No</v>
      </c>
      <c r="M30" s="11">
        <v>1</v>
      </c>
      <c r="N30" s="11" t="str">
        <f t="shared" si="1"/>
        <v>Yes</v>
      </c>
      <c r="O30" s="11">
        <v>4</v>
      </c>
    </row>
    <row r="31" spans="1:15" ht="16.5" customHeight="1" x14ac:dyDescent="0.25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 t="str">
        <f t="shared" si="0"/>
        <v>Yes</v>
      </c>
      <c r="M31" s="11">
        <v>7</v>
      </c>
      <c r="N31" s="11" t="str">
        <f t="shared" si="1"/>
        <v>Yes</v>
      </c>
      <c r="O31" s="11">
        <v>58</v>
      </c>
    </row>
    <row r="32" spans="1:15" ht="16.5" customHeight="1" x14ac:dyDescent="0.25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 t="str">
        <f t="shared" si="0"/>
        <v>No</v>
      </c>
      <c r="M32" s="11">
        <v>10</v>
      </c>
      <c r="N32" s="11" t="str">
        <f t="shared" si="1"/>
        <v>Yes</v>
      </c>
      <c r="O32" s="11">
        <v>20</v>
      </c>
    </row>
    <row r="33" spans="1:15" ht="16.5" customHeight="1" x14ac:dyDescent="0.25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 t="str">
        <f t="shared" si="0"/>
        <v>No</v>
      </c>
      <c r="M33" s="11">
        <v>0</v>
      </c>
      <c r="N33" s="11" t="str">
        <f t="shared" si="1"/>
        <v>No</v>
      </c>
      <c r="O33" s="11">
        <v>5</v>
      </c>
    </row>
    <row r="34" spans="1:15" ht="16.5" customHeight="1" x14ac:dyDescent="0.25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 t="str">
        <f t="shared" si="0"/>
        <v>Yes</v>
      </c>
      <c r="M34" s="11">
        <v>3</v>
      </c>
      <c r="N34" s="11" t="str">
        <f t="shared" si="1"/>
        <v>Yes</v>
      </c>
      <c r="O34" s="11">
        <v>62</v>
      </c>
    </row>
    <row r="35" spans="1:15" ht="16.5" customHeight="1" x14ac:dyDescent="0.25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 t="str">
        <f t="shared" si="0"/>
        <v>No</v>
      </c>
      <c r="M35" s="11">
        <v>15</v>
      </c>
      <c r="N35" s="11" t="str">
        <f t="shared" si="1"/>
        <v>Yes</v>
      </c>
      <c r="O35" s="11">
        <v>15</v>
      </c>
    </row>
    <row r="36" spans="1:15" ht="16.5" customHeight="1" x14ac:dyDescent="0.25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 t="str">
        <f t="shared" si="0"/>
        <v>No</v>
      </c>
      <c r="M36" s="11">
        <v>1</v>
      </c>
      <c r="N36" s="11" t="str">
        <f t="shared" si="1"/>
        <v>Yes</v>
      </c>
      <c r="O36" s="11">
        <v>4</v>
      </c>
    </row>
    <row r="37" spans="1:15" ht="16.5" customHeight="1" x14ac:dyDescent="0.25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 t="str">
        <f t="shared" si="0"/>
        <v>No</v>
      </c>
      <c r="M37" s="11">
        <v>0</v>
      </c>
      <c r="N37" s="11" t="str">
        <f t="shared" si="1"/>
        <v>No</v>
      </c>
      <c r="O37" s="11">
        <v>5</v>
      </c>
    </row>
    <row r="38" spans="1:15" ht="16.5" customHeight="1" x14ac:dyDescent="0.25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 t="str">
        <f t="shared" si="0"/>
        <v>Yes</v>
      </c>
      <c r="M38" s="11">
        <v>7</v>
      </c>
      <c r="N38" s="11" t="str">
        <f t="shared" si="1"/>
        <v>Yes</v>
      </c>
      <c r="O38" s="11">
        <v>58</v>
      </c>
    </row>
    <row r="39" spans="1:15" ht="16.5" customHeight="1" x14ac:dyDescent="0.25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 t="str">
        <f t="shared" si="0"/>
        <v>No</v>
      </c>
      <c r="M39" s="11">
        <v>10</v>
      </c>
      <c r="N39" s="11" t="str">
        <f t="shared" si="1"/>
        <v>Yes</v>
      </c>
      <c r="O39" s="11">
        <v>20</v>
      </c>
    </row>
    <row r="40" spans="1:15" ht="16.5" customHeight="1" x14ac:dyDescent="0.25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 t="str">
        <f t="shared" si="0"/>
        <v>No</v>
      </c>
      <c r="M40" s="11">
        <v>1</v>
      </c>
      <c r="N40" s="11" t="str">
        <f t="shared" si="1"/>
        <v>Yes</v>
      </c>
      <c r="O40" s="11">
        <v>4</v>
      </c>
    </row>
    <row r="41" spans="1:15" ht="16.5" customHeight="1" x14ac:dyDescent="0.25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 t="str">
        <f t="shared" si="0"/>
        <v>Yes</v>
      </c>
      <c r="M41" s="11">
        <v>15</v>
      </c>
      <c r="N41" s="11" t="str">
        <f t="shared" si="1"/>
        <v>Yes</v>
      </c>
      <c r="O41" s="11">
        <v>50</v>
      </c>
    </row>
    <row r="42" spans="1:15" ht="16.5" customHeight="1" x14ac:dyDescent="0.25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 t="str">
        <f t="shared" si="0"/>
        <v>No</v>
      </c>
      <c r="M42" s="11">
        <v>5</v>
      </c>
      <c r="N42" s="11" t="str">
        <f t="shared" si="1"/>
        <v>Yes</v>
      </c>
      <c r="O42" s="11">
        <v>25</v>
      </c>
    </row>
    <row r="43" spans="1:15" ht="16.5" customHeight="1" x14ac:dyDescent="0.25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 t="str">
        <f t="shared" si="0"/>
        <v>No</v>
      </c>
      <c r="M43" s="11">
        <v>0</v>
      </c>
      <c r="N43" s="11" t="str">
        <f t="shared" si="1"/>
        <v>No</v>
      </c>
      <c r="O43" s="11">
        <v>5</v>
      </c>
    </row>
    <row r="44" spans="1:15" ht="16.5" customHeight="1" x14ac:dyDescent="0.25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 t="str">
        <f t="shared" si="0"/>
        <v>Yes</v>
      </c>
      <c r="M44" s="11">
        <v>20</v>
      </c>
      <c r="N44" s="11" t="str">
        <f t="shared" si="1"/>
        <v>Yes</v>
      </c>
      <c r="O44" s="11">
        <v>45</v>
      </c>
    </row>
    <row r="45" spans="1:15" ht="16.5" customHeight="1" x14ac:dyDescent="0.25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 t="str">
        <f t="shared" si="0"/>
        <v>No</v>
      </c>
      <c r="M45" s="11">
        <v>12</v>
      </c>
      <c r="N45" s="11" t="str">
        <f t="shared" si="1"/>
        <v>Yes</v>
      </c>
      <c r="O45" s="11">
        <v>18</v>
      </c>
    </row>
    <row r="46" spans="1:15" ht="16.5" customHeight="1" x14ac:dyDescent="0.25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 t="str">
        <f t="shared" si="0"/>
        <v>No</v>
      </c>
      <c r="M46" s="11">
        <v>2</v>
      </c>
      <c r="N46" s="11" t="str">
        <f t="shared" si="1"/>
        <v>Yes</v>
      </c>
      <c r="O46" s="11">
        <v>3</v>
      </c>
    </row>
    <row r="47" spans="1:15" ht="16.5" customHeight="1" x14ac:dyDescent="0.25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 t="str">
        <f t="shared" si="0"/>
        <v>Yes</v>
      </c>
      <c r="M47" s="11">
        <v>5</v>
      </c>
      <c r="N47" s="11" t="str">
        <f t="shared" si="1"/>
        <v>Yes</v>
      </c>
      <c r="O47" s="11">
        <v>60</v>
      </c>
    </row>
    <row r="48" spans="1:15" ht="16.5" customHeight="1" x14ac:dyDescent="0.25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 t="str">
        <f t="shared" si="0"/>
        <v>No</v>
      </c>
      <c r="M48" s="11">
        <v>10</v>
      </c>
      <c r="N48" s="11" t="str">
        <f t="shared" si="1"/>
        <v>Yes</v>
      </c>
      <c r="O48" s="11">
        <v>20</v>
      </c>
    </row>
    <row r="49" spans="1:15" ht="16.5" customHeight="1" x14ac:dyDescent="0.25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 t="str">
        <f t="shared" si="0"/>
        <v>No</v>
      </c>
      <c r="M49" s="11">
        <v>0</v>
      </c>
      <c r="N49" s="11" t="str">
        <f t="shared" si="1"/>
        <v>No</v>
      </c>
      <c r="O49" s="11">
        <v>5</v>
      </c>
    </row>
    <row r="50" spans="1:15" ht="16.5" customHeight="1" x14ac:dyDescent="0.25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 t="str">
        <f t="shared" si="0"/>
        <v>Yes</v>
      </c>
      <c r="M50" s="11">
        <v>3</v>
      </c>
      <c r="N50" s="11" t="str">
        <f t="shared" si="1"/>
        <v>Yes</v>
      </c>
      <c r="O50" s="11">
        <v>62</v>
      </c>
    </row>
    <row r="51" spans="1:15" ht="16.5" customHeight="1" x14ac:dyDescent="0.25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 t="str">
        <f t="shared" si="0"/>
        <v>No</v>
      </c>
      <c r="M51" s="11">
        <v>15</v>
      </c>
      <c r="N51" s="11" t="str">
        <f t="shared" si="1"/>
        <v>Yes</v>
      </c>
      <c r="O51" s="11">
        <v>15</v>
      </c>
    </row>
    <row r="52" spans="1:15" ht="16.5" customHeight="1" x14ac:dyDescent="0.25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 t="str">
        <f t="shared" si="0"/>
        <v>No</v>
      </c>
      <c r="M52" s="11">
        <v>1</v>
      </c>
      <c r="N52" s="11" t="str">
        <f t="shared" si="1"/>
        <v>Yes</v>
      </c>
      <c r="O52" s="11">
        <v>4</v>
      </c>
    </row>
    <row r="53" spans="1:15" ht="16.5" customHeight="1" x14ac:dyDescent="0.25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 t="str">
        <f t="shared" si="0"/>
        <v>Yes</v>
      </c>
      <c r="M53" s="11">
        <v>7</v>
      </c>
      <c r="N53" s="11" t="str">
        <f t="shared" si="1"/>
        <v>Yes</v>
      </c>
      <c r="O53" s="11">
        <v>58</v>
      </c>
    </row>
    <row r="54" spans="1:15" ht="16.5" customHeight="1" x14ac:dyDescent="0.25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 t="str">
        <f t="shared" si="0"/>
        <v>No</v>
      </c>
      <c r="M54" s="11">
        <v>10</v>
      </c>
      <c r="N54" s="11" t="str">
        <f t="shared" si="1"/>
        <v>Yes</v>
      </c>
      <c r="O54" s="11">
        <v>20</v>
      </c>
    </row>
    <row r="55" spans="1:15" ht="16.5" customHeight="1" x14ac:dyDescent="0.25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 t="str">
        <f t="shared" si="0"/>
        <v>No</v>
      </c>
      <c r="M55" s="11">
        <v>0</v>
      </c>
      <c r="N55" s="11" t="str">
        <f t="shared" si="1"/>
        <v>No</v>
      </c>
      <c r="O55" s="11">
        <v>5</v>
      </c>
    </row>
    <row r="56" spans="1:15" ht="16.5" customHeight="1" x14ac:dyDescent="0.25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 t="str">
        <f t="shared" si="0"/>
        <v>Yes</v>
      </c>
      <c r="M56" s="11">
        <v>20</v>
      </c>
      <c r="N56" s="11" t="str">
        <f t="shared" si="1"/>
        <v>Yes</v>
      </c>
      <c r="O56" s="11">
        <v>45</v>
      </c>
    </row>
    <row r="57" spans="1:15" ht="16.5" customHeight="1" x14ac:dyDescent="0.25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 t="str">
        <f t="shared" si="0"/>
        <v>No</v>
      </c>
      <c r="M57" s="11">
        <v>15</v>
      </c>
      <c r="N57" s="11" t="str">
        <f t="shared" si="1"/>
        <v>Yes</v>
      </c>
      <c r="O57" s="11">
        <v>15</v>
      </c>
    </row>
    <row r="58" spans="1:15" ht="16.5" customHeight="1" x14ac:dyDescent="0.25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 t="str">
        <f t="shared" si="0"/>
        <v>No</v>
      </c>
      <c r="M58" s="11">
        <v>1</v>
      </c>
      <c r="N58" s="11" t="str">
        <f t="shared" si="1"/>
        <v>Yes</v>
      </c>
      <c r="O58" s="11">
        <v>4</v>
      </c>
    </row>
    <row r="59" spans="1:15" ht="16.5" customHeight="1" x14ac:dyDescent="0.25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 t="str">
        <f t="shared" si="0"/>
        <v>Yes</v>
      </c>
      <c r="M59" s="11">
        <v>3</v>
      </c>
      <c r="N59" s="11" t="str">
        <f t="shared" si="1"/>
        <v>Yes</v>
      </c>
      <c r="O59" s="11">
        <v>62</v>
      </c>
    </row>
    <row r="60" spans="1:15" ht="16.5" customHeight="1" x14ac:dyDescent="0.25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 t="str">
        <f t="shared" si="0"/>
        <v>No</v>
      </c>
      <c r="M60" s="11">
        <v>10</v>
      </c>
      <c r="N60" s="11" t="str">
        <f t="shared" si="1"/>
        <v>Yes</v>
      </c>
      <c r="O60" s="11">
        <v>20</v>
      </c>
    </row>
    <row r="61" spans="1:15" ht="16.5" customHeight="1" x14ac:dyDescent="0.25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 t="str">
        <f t="shared" si="0"/>
        <v>No</v>
      </c>
      <c r="M61" s="11">
        <v>0</v>
      </c>
      <c r="N61" s="11" t="str">
        <f t="shared" si="1"/>
        <v>No</v>
      </c>
      <c r="O61" s="11">
        <v>5</v>
      </c>
    </row>
    <row r="62" spans="1:15" ht="16.5" customHeight="1" x14ac:dyDescent="0.25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 t="str">
        <f t="shared" si="0"/>
        <v>Yes</v>
      </c>
      <c r="M62" s="11">
        <v>5</v>
      </c>
      <c r="N62" s="11" t="str">
        <f t="shared" si="1"/>
        <v>Yes</v>
      </c>
      <c r="O62" s="11">
        <v>60</v>
      </c>
    </row>
    <row r="63" spans="1:15" ht="16.5" customHeight="1" x14ac:dyDescent="0.25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 t="str">
        <f t="shared" si="0"/>
        <v>No</v>
      </c>
      <c r="M63" s="11">
        <v>15</v>
      </c>
      <c r="N63" s="11" t="str">
        <f t="shared" si="1"/>
        <v>Yes</v>
      </c>
      <c r="O63" s="11">
        <v>15</v>
      </c>
    </row>
    <row r="64" spans="1:15" ht="16.5" customHeight="1" x14ac:dyDescent="0.25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 t="str">
        <f t="shared" si="0"/>
        <v>No</v>
      </c>
      <c r="M64" s="11">
        <v>1</v>
      </c>
      <c r="N64" s="11" t="str">
        <f t="shared" si="1"/>
        <v>Yes</v>
      </c>
      <c r="O64" s="11">
        <v>4</v>
      </c>
    </row>
    <row r="65" spans="1:15" ht="16.5" customHeight="1" x14ac:dyDescent="0.25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 t="str">
        <f t="shared" si="0"/>
        <v>Yes</v>
      </c>
      <c r="M65" s="11">
        <v>20</v>
      </c>
      <c r="N65" s="11" t="str">
        <f t="shared" si="1"/>
        <v>Yes</v>
      </c>
      <c r="O65" s="11">
        <v>45</v>
      </c>
    </row>
    <row r="66" spans="1:15" ht="16.5" customHeight="1" x14ac:dyDescent="0.25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 t="str">
        <f t="shared" ref="L66:L129" si="2">IF(OR(F66="Yes", H66="Yes"), "Yes", "No")</f>
        <v>No</v>
      </c>
      <c r="M66" s="11">
        <v>5</v>
      </c>
      <c r="N66" s="11" t="str">
        <f t="shared" ref="N66:N129" si="3">IF(OR(M66="",M66=0),"No","Yes")</f>
        <v>Yes</v>
      </c>
      <c r="O66" s="11">
        <v>25</v>
      </c>
    </row>
    <row r="67" spans="1:15" ht="16.5" customHeight="1" x14ac:dyDescent="0.25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 t="str">
        <f t="shared" si="2"/>
        <v>No</v>
      </c>
      <c r="M67" s="11">
        <v>0</v>
      </c>
      <c r="N67" s="11" t="str">
        <f t="shared" si="3"/>
        <v>No</v>
      </c>
      <c r="O67" s="11">
        <v>5</v>
      </c>
    </row>
    <row r="68" spans="1:15" ht="16.5" customHeight="1" x14ac:dyDescent="0.25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 t="str">
        <f t="shared" si="2"/>
        <v>Yes</v>
      </c>
      <c r="M68" s="11">
        <v>7</v>
      </c>
      <c r="N68" s="11" t="str">
        <f t="shared" si="3"/>
        <v>Yes</v>
      </c>
      <c r="O68" s="11">
        <v>58</v>
      </c>
    </row>
    <row r="69" spans="1:15" ht="16.5" customHeight="1" x14ac:dyDescent="0.25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 t="str">
        <f t="shared" si="2"/>
        <v>No</v>
      </c>
      <c r="M69" s="11">
        <v>10</v>
      </c>
      <c r="N69" s="11" t="str">
        <f t="shared" si="3"/>
        <v>Yes</v>
      </c>
      <c r="O69" s="11">
        <v>20</v>
      </c>
    </row>
    <row r="70" spans="1:15" ht="16.5" customHeight="1" x14ac:dyDescent="0.25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 t="str">
        <f t="shared" si="2"/>
        <v>No</v>
      </c>
      <c r="M70" s="11">
        <v>1</v>
      </c>
      <c r="N70" s="11" t="str">
        <f t="shared" si="3"/>
        <v>Yes</v>
      </c>
      <c r="O70" s="11">
        <v>4</v>
      </c>
    </row>
    <row r="71" spans="1:15" ht="16.5" customHeight="1" x14ac:dyDescent="0.25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 t="str">
        <f t="shared" si="2"/>
        <v>Yes</v>
      </c>
      <c r="M71" s="11">
        <v>15</v>
      </c>
      <c r="N71" s="11" t="str">
        <f t="shared" si="3"/>
        <v>Yes</v>
      </c>
      <c r="O71" s="11">
        <v>50</v>
      </c>
    </row>
    <row r="72" spans="1:15" ht="16.5" customHeight="1" x14ac:dyDescent="0.25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 t="str">
        <f t="shared" si="2"/>
        <v>No</v>
      </c>
      <c r="M72" s="11">
        <v>5</v>
      </c>
      <c r="N72" s="11" t="str">
        <f t="shared" si="3"/>
        <v>Yes</v>
      </c>
      <c r="O72" s="11">
        <v>25</v>
      </c>
    </row>
    <row r="73" spans="1:15" ht="16.5" customHeight="1" x14ac:dyDescent="0.25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 t="str">
        <f t="shared" si="2"/>
        <v>No</v>
      </c>
      <c r="M73" s="11">
        <v>0</v>
      </c>
      <c r="N73" s="11" t="str">
        <f t="shared" si="3"/>
        <v>No</v>
      </c>
      <c r="O73" s="11">
        <v>5</v>
      </c>
    </row>
    <row r="74" spans="1:15" ht="16.5" customHeight="1" x14ac:dyDescent="0.25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 t="str">
        <f t="shared" si="2"/>
        <v>Yes</v>
      </c>
      <c r="M74" s="11">
        <v>20</v>
      </c>
      <c r="N74" s="11" t="str">
        <f t="shared" si="3"/>
        <v>Yes</v>
      </c>
      <c r="O74" s="11">
        <v>45</v>
      </c>
    </row>
    <row r="75" spans="1:15" ht="16.5" customHeight="1" x14ac:dyDescent="0.25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 t="str">
        <f t="shared" si="2"/>
        <v>No</v>
      </c>
      <c r="M75" s="11">
        <v>12</v>
      </c>
      <c r="N75" s="11" t="str">
        <f t="shared" si="3"/>
        <v>Yes</v>
      </c>
      <c r="O75" s="11">
        <v>18</v>
      </c>
    </row>
    <row r="76" spans="1:15" ht="16.5" customHeight="1" x14ac:dyDescent="0.25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 t="str">
        <f t="shared" si="2"/>
        <v>No</v>
      </c>
      <c r="M76" s="11">
        <v>2</v>
      </c>
      <c r="N76" s="11" t="str">
        <f t="shared" si="3"/>
        <v>Yes</v>
      </c>
      <c r="O76" s="11">
        <v>3</v>
      </c>
    </row>
    <row r="77" spans="1:15" ht="16.5" customHeight="1" x14ac:dyDescent="0.25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 t="str">
        <f t="shared" si="2"/>
        <v>Yes</v>
      </c>
      <c r="M77" s="11">
        <v>5</v>
      </c>
      <c r="N77" s="11" t="str">
        <f t="shared" si="3"/>
        <v>Yes</v>
      </c>
      <c r="O77" s="11">
        <v>60</v>
      </c>
    </row>
    <row r="78" spans="1:15" ht="16.5" customHeight="1" x14ac:dyDescent="0.25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 t="str">
        <f t="shared" si="2"/>
        <v>No</v>
      </c>
      <c r="M78" s="11">
        <v>10</v>
      </c>
      <c r="N78" s="11" t="str">
        <f t="shared" si="3"/>
        <v>Yes</v>
      </c>
      <c r="O78" s="11">
        <v>20</v>
      </c>
    </row>
    <row r="79" spans="1:15" ht="16.5" customHeight="1" x14ac:dyDescent="0.25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 t="str">
        <f t="shared" si="2"/>
        <v>No</v>
      </c>
      <c r="M79" s="11">
        <v>0</v>
      </c>
      <c r="N79" s="11" t="str">
        <f t="shared" si="3"/>
        <v>No</v>
      </c>
      <c r="O79" s="11">
        <v>5</v>
      </c>
    </row>
    <row r="80" spans="1:15" ht="16.5" customHeight="1" x14ac:dyDescent="0.25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 t="str">
        <f t="shared" si="2"/>
        <v>Yes</v>
      </c>
      <c r="M80" s="11">
        <v>3</v>
      </c>
      <c r="N80" s="11" t="str">
        <f t="shared" si="3"/>
        <v>Yes</v>
      </c>
      <c r="O80" s="11">
        <v>62</v>
      </c>
    </row>
    <row r="81" spans="1:15" ht="16.5" customHeight="1" x14ac:dyDescent="0.25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 t="str">
        <f t="shared" si="2"/>
        <v>No</v>
      </c>
      <c r="M81" s="11">
        <v>15</v>
      </c>
      <c r="N81" s="11" t="str">
        <f t="shared" si="3"/>
        <v>Yes</v>
      </c>
      <c r="O81" s="11">
        <v>15</v>
      </c>
    </row>
    <row r="82" spans="1:15" ht="16.5" customHeight="1" x14ac:dyDescent="0.25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 t="str">
        <f t="shared" si="2"/>
        <v>No</v>
      </c>
      <c r="M82" s="11">
        <v>1</v>
      </c>
      <c r="N82" s="11" t="str">
        <f t="shared" si="3"/>
        <v>Yes</v>
      </c>
      <c r="O82" s="11">
        <v>4</v>
      </c>
    </row>
    <row r="83" spans="1:15" ht="16.5" customHeight="1" x14ac:dyDescent="0.25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 t="str">
        <f t="shared" si="2"/>
        <v>Yes</v>
      </c>
      <c r="M83" s="11">
        <v>7</v>
      </c>
      <c r="N83" s="11" t="str">
        <f t="shared" si="3"/>
        <v>Yes</v>
      </c>
      <c r="O83" s="11">
        <v>58</v>
      </c>
    </row>
    <row r="84" spans="1:15" ht="16.5" customHeight="1" x14ac:dyDescent="0.25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 t="str">
        <f t="shared" si="2"/>
        <v>No</v>
      </c>
      <c r="M84" s="11">
        <v>10</v>
      </c>
      <c r="N84" s="11" t="str">
        <f t="shared" si="3"/>
        <v>Yes</v>
      </c>
      <c r="O84" s="11">
        <v>20</v>
      </c>
    </row>
    <row r="85" spans="1:15" ht="16.5" customHeight="1" x14ac:dyDescent="0.25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 t="str">
        <f t="shared" si="2"/>
        <v>No</v>
      </c>
      <c r="M85" s="11">
        <v>0</v>
      </c>
      <c r="N85" s="11" t="str">
        <f t="shared" si="3"/>
        <v>No</v>
      </c>
      <c r="O85" s="11">
        <v>5</v>
      </c>
    </row>
    <row r="86" spans="1:15" ht="16.5" customHeight="1" x14ac:dyDescent="0.25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 t="str">
        <f t="shared" si="2"/>
        <v>Yes</v>
      </c>
      <c r="M86" s="11">
        <v>20</v>
      </c>
      <c r="N86" s="11" t="str">
        <f t="shared" si="3"/>
        <v>Yes</v>
      </c>
      <c r="O86" s="11">
        <v>45</v>
      </c>
    </row>
    <row r="87" spans="1:15" ht="16.5" customHeight="1" x14ac:dyDescent="0.25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 t="str">
        <f t="shared" si="2"/>
        <v>No</v>
      </c>
      <c r="M87" s="11">
        <v>15</v>
      </c>
      <c r="N87" s="11" t="str">
        <f t="shared" si="3"/>
        <v>Yes</v>
      </c>
      <c r="O87" s="11">
        <v>15</v>
      </c>
    </row>
    <row r="88" spans="1:15" ht="16.5" customHeight="1" x14ac:dyDescent="0.25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 t="str">
        <f t="shared" si="2"/>
        <v>No</v>
      </c>
      <c r="M88" s="11">
        <v>1</v>
      </c>
      <c r="N88" s="11" t="str">
        <f t="shared" si="3"/>
        <v>Yes</v>
      </c>
      <c r="O88" s="11">
        <v>4</v>
      </c>
    </row>
    <row r="89" spans="1:15" ht="16.5" customHeight="1" x14ac:dyDescent="0.25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 t="str">
        <f t="shared" si="2"/>
        <v>Yes</v>
      </c>
      <c r="M89" s="11">
        <v>3</v>
      </c>
      <c r="N89" s="11" t="str">
        <f t="shared" si="3"/>
        <v>Yes</v>
      </c>
      <c r="O89" s="11">
        <v>62</v>
      </c>
    </row>
    <row r="90" spans="1:15" ht="16.5" customHeight="1" x14ac:dyDescent="0.25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 t="str">
        <f t="shared" si="2"/>
        <v>No</v>
      </c>
      <c r="M90" s="11">
        <v>10</v>
      </c>
      <c r="N90" s="11" t="str">
        <f t="shared" si="3"/>
        <v>Yes</v>
      </c>
      <c r="O90" s="11">
        <v>20</v>
      </c>
    </row>
    <row r="91" spans="1:15" ht="16.5" customHeight="1" x14ac:dyDescent="0.25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 t="str">
        <f t="shared" si="2"/>
        <v>No</v>
      </c>
      <c r="M91" s="11">
        <v>0</v>
      </c>
      <c r="N91" s="11" t="str">
        <f t="shared" si="3"/>
        <v>No</v>
      </c>
      <c r="O91" s="11">
        <v>5</v>
      </c>
    </row>
    <row r="92" spans="1:15" ht="16.5" customHeight="1" x14ac:dyDescent="0.25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 t="str">
        <f t="shared" si="2"/>
        <v>Yes</v>
      </c>
      <c r="M92" s="11">
        <v>5</v>
      </c>
      <c r="N92" s="11" t="str">
        <f t="shared" si="3"/>
        <v>Yes</v>
      </c>
      <c r="O92" s="11">
        <v>60</v>
      </c>
    </row>
    <row r="93" spans="1:15" ht="16.5" customHeight="1" x14ac:dyDescent="0.25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 t="str">
        <f t="shared" si="2"/>
        <v>No</v>
      </c>
      <c r="M93" s="11">
        <v>15</v>
      </c>
      <c r="N93" s="11" t="str">
        <f t="shared" si="3"/>
        <v>Yes</v>
      </c>
      <c r="O93" s="11">
        <v>15</v>
      </c>
    </row>
    <row r="94" spans="1:15" ht="16.5" customHeight="1" x14ac:dyDescent="0.25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 t="str">
        <f t="shared" si="2"/>
        <v>No</v>
      </c>
      <c r="M94" s="11">
        <v>1</v>
      </c>
      <c r="N94" s="11" t="str">
        <f t="shared" si="3"/>
        <v>Yes</v>
      </c>
      <c r="O94" s="11">
        <v>4</v>
      </c>
    </row>
    <row r="95" spans="1:15" ht="16.5" customHeight="1" x14ac:dyDescent="0.25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 t="str">
        <f t="shared" si="2"/>
        <v>Yes</v>
      </c>
      <c r="M95" s="11">
        <v>20</v>
      </c>
      <c r="N95" s="11" t="str">
        <f t="shared" si="3"/>
        <v>Yes</v>
      </c>
      <c r="O95" s="11">
        <v>45</v>
      </c>
    </row>
    <row r="96" spans="1:15" ht="16.5" customHeight="1" x14ac:dyDescent="0.25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 t="str">
        <f t="shared" si="2"/>
        <v>No</v>
      </c>
      <c r="M96" s="11">
        <v>15</v>
      </c>
      <c r="N96" s="11" t="str">
        <f t="shared" si="3"/>
        <v>Yes</v>
      </c>
      <c r="O96" s="11">
        <v>15</v>
      </c>
    </row>
    <row r="97" spans="1:15" ht="16.5" customHeight="1" x14ac:dyDescent="0.25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 t="str">
        <f t="shared" si="2"/>
        <v>No</v>
      </c>
      <c r="M97" s="11">
        <v>0</v>
      </c>
      <c r="N97" s="11" t="str">
        <f t="shared" si="3"/>
        <v>No</v>
      </c>
      <c r="O97" s="11">
        <v>5</v>
      </c>
    </row>
    <row r="98" spans="1:15" ht="16.5" customHeight="1" x14ac:dyDescent="0.25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 t="str">
        <f t="shared" si="2"/>
        <v>Yes</v>
      </c>
      <c r="M98" s="11">
        <v>7</v>
      </c>
      <c r="N98" s="11" t="str">
        <f t="shared" si="3"/>
        <v>Yes</v>
      </c>
      <c r="O98" s="11">
        <v>58</v>
      </c>
    </row>
    <row r="99" spans="1:15" ht="16.5" customHeight="1" x14ac:dyDescent="0.25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 t="str">
        <f t="shared" si="2"/>
        <v>No</v>
      </c>
      <c r="M99" s="11">
        <v>10</v>
      </c>
      <c r="N99" s="11" t="str">
        <f t="shared" si="3"/>
        <v>Yes</v>
      </c>
      <c r="O99" s="11">
        <v>20</v>
      </c>
    </row>
    <row r="100" spans="1:15" ht="16.5" customHeight="1" x14ac:dyDescent="0.25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 t="str">
        <f t="shared" si="2"/>
        <v>No</v>
      </c>
      <c r="M100" s="11">
        <v>1</v>
      </c>
      <c r="N100" s="11" t="str">
        <f t="shared" si="3"/>
        <v>Yes</v>
      </c>
      <c r="O100" s="11">
        <v>4</v>
      </c>
    </row>
    <row r="101" spans="1:15" ht="16.5" customHeight="1" x14ac:dyDescent="0.25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 t="str">
        <f t="shared" si="2"/>
        <v>Yes</v>
      </c>
      <c r="M101" s="11">
        <v>15</v>
      </c>
      <c r="N101" s="11" t="str">
        <f t="shared" si="3"/>
        <v>Yes</v>
      </c>
      <c r="O101" s="11">
        <v>50</v>
      </c>
    </row>
    <row r="102" spans="1:15" ht="16.5" customHeight="1" x14ac:dyDescent="0.25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 t="str">
        <f t="shared" si="2"/>
        <v>No</v>
      </c>
      <c r="M102" s="11">
        <v>5</v>
      </c>
      <c r="N102" s="11" t="str">
        <f t="shared" si="3"/>
        <v>Yes</v>
      </c>
      <c r="O102" s="11">
        <v>25</v>
      </c>
    </row>
    <row r="103" spans="1:15" ht="16.5" customHeight="1" x14ac:dyDescent="0.25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 t="str">
        <f t="shared" si="2"/>
        <v>No</v>
      </c>
      <c r="M103" s="11">
        <v>0</v>
      </c>
      <c r="N103" s="11" t="str">
        <f t="shared" si="3"/>
        <v>No</v>
      </c>
      <c r="O103" s="11">
        <v>5</v>
      </c>
    </row>
    <row r="104" spans="1:15" ht="16.5" customHeight="1" x14ac:dyDescent="0.25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 t="str">
        <f t="shared" si="2"/>
        <v>Yes</v>
      </c>
      <c r="M104" s="11">
        <v>20</v>
      </c>
      <c r="N104" s="11" t="str">
        <f t="shared" si="3"/>
        <v>Yes</v>
      </c>
      <c r="O104" s="11">
        <v>45</v>
      </c>
    </row>
    <row r="105" spans="1:15" ht="16.5" customHeight="1" x14ac:dyDescent="0.25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 t="str">
        <f t="shared" si="2"/>
        <v>No</v>
      </c>
      <c r="M105" s="11">
        <v>12</v>
      </c>
      <c r="N105" s="11" t="str">
        <f t="shared" si="3"/>
        <v>Yes</v>
      </c>
      <c r="O105" s="11">
        <v>18</v>
      </c>
    </row>
    <row r="106" spans="1:15" ht="16.5" customHeight="1" x14ac:dyDescent="0.25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 t="str">
        <f t="shared" si="2"/>
        <v>No</v>
      </c>
      <c r="M106" s="11">
        <v>2</v>
      </c>
      <c r="N106" s="11" t="str">
        <f t="shared" si="3"/>
        <v>Yes</v>
      </c>
      <c r="O106" s="11">
        <v>3</v>
      </c>
    </row>
    <row r="107" spans="1:15" ht="16.5" customHeight="1" x14ac:dyDescent="0.25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 t="str">
        <f t="shared" si="2"/>
        <v>No</v>
      </c>
      <c r="M107" s="11">
        <v>0</v>
      </c>
      <c r="N107" s="11" t="str">
        <f t="shared" si="3"/>
        <v>No</v>
      </c>
      <c r="O107" s="11">
        <v>5</v>
      </c>
    </row>
    <row r="108" spans="1:15" ht="16.5" customHeight="1" x14ac:dyDescent="0.25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 t="str">
        <f t="shared" si="2"/>
        <v>Yes</v>
      </c>
      <c r="M108" s="11">
        <v>7</v>
      </c>
      <c r="N108" s="11" t="str">
        <f t="shared" si="3"/>
        <v>Yes</v>
      </c>
      <c r="O108" s="11">
        <v>58</v>
      </c>
    </row>
    <row r="109" spans="1:15" ht="16.5" customHeight="1" x14ac:dyDescent="0.25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 t="str">
        <f t="shared" si="2"/>
        <v>No</v>
      </c>
      <c r="M109" s="11">
        <v>10</v>
      </c>
      <c r="N109" s="11" t="str">
        <f t="shared" si="3"/>
        <v>Yes</v>
      </c>
      <c r="O109" s="11">
        <v>20</v>
      </c>
    </row>
    <row r="110" spans="1:15" ht="16.5" customHeight="1" x14ac:dyDescent="0.25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 t="str">
        <f t="shared" si="2"/>
        <v>No</v>
      </c>
      <c r="M110" s="11">
        <v>1</v>
      </c>
      <c r="N110" s="11" t="str">
        <f t="shared" si="3"/>
        <v>Yes</v>
      </c>
      <c r="O110" s="11">
        <v>4</v>
      </c>
    </row>
    <row r="111" spans="1:15" ht="16.5" customHeight="1" x14ac:dyDescent="0.25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 t="str">
        <f t="shared" si="2"/>
        <v>Yes</v>
      </c>
      <c r="M111" s="11">
        <v>15</v>
      </c>
      <c r="N111" s="11" t="str">
        <f t="shared" si="3"/>
        <v>Yes</v>
      </c>
      <c r="O111" s="11">
        <v>50</v>
      </c>
    </row>
    <row r="112" spans="1:15" ht="16.5" customHeight="1" x14ac:dyDescent="0.25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 t="str">
        <f t="shared" si="2"/>
        <v>No</v>
      </c>
      <c r="M112" s="11">
        <v>5</v>
      </c>
      <c r="N112" s="11" t="str">
        <f t="shared" si="3"/>
        <v>Yes</v>
      </c>
      <c r="O112" s="11">
        <v>25</v>
      </c>
    </row>
    <row r="113" spans="1:15" ht="16.5" customHeight="1" x14ac:dyDescent="0.25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 t="str">
        <f t="shared" si="2"/>
        <v>No</v>
      </c>
      <c r="M113" s="11">
        <v>0</v>
      </c>
      <c r="N113" s="11" t="str">
        <f t="shared" si="3"/>
        <v>No</v>
      </c>
      <c r="O113" s="11">
        <v>5</v>
      </c>
    </row>
    <row r="114" spans="1:15" ht="16.5" customHeight="1" x14ac:dyDescent="0.25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 t="str">
        <f t="shared" si="2"/>
        <v>Yes</v>
      </c>
      <c r="M114" s="11">
        <v>20</v>
      </c>
      <c r="N114" s="11" t="str">
        <f t="shared" si="3"/>
        <v>Yes</v>
      </c>
      <c r="O114" s="11">
        <v>45</v>
      </c>
    </row>
    <row r="115" spans="1:15" ht="16.5" customHeight="1" x14ac:dyDescent="0.25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 t="str">
        <f t="shared" si="2"/>
        <v>No</v>
      </c>
      <c r="M115" s="11">
        <v>12</v>
      </c>
      <c r="N115" s="11" t="str">
        <f t="shared" si="3"/>
        <v>Yes</v>
      </c>
      <c r="O115" s="11">
        <v>18</v>
      </c>
    </row>
    <row r="116" spans="1:15" ht="16.5" customHeight="1" x14ac:dyDescent="0.25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 t="str">
        <f t="shared" si="2"/>
        <v>No</v>
      </c>
      <c r="M116" s="11">
        <v>2</v>
      </c>
      <c r="N116" s="11" t="str">
        <f t="shared" si="3"/>
        <v>Yes</v>
      </c>
      <c r="O116" s="11">
        <v>3</v>
      </c>
    </row>
    <row r="117" spans="1:15" ht="16.5" customHeight="1" x14ac:dyDescent="0.25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 t="str">
        <f t="shared" si="2"/>
        <v>Yes</v>
      </c>
      <c r="M117" s="11">
        <v>5</v>
      </c>
      <c r="N117" s="11" t="str">
        <f t="shared" si="3"/>
        <v>Yes</v>
      </c>
      <c r="O117" s="11">
        <v>60</v>
      </c>
    </row>
    <row r="118" spans="1:15" ht="16.5" customHeight="1" x14ac:dyDescent="0.25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 t="str">
        <f t="shared" si="2"/>
        <v>No</v>
      </c>
      <c r="M118" s="11">
        <v>10</v>
      </c>
      <c r="N118" s="11" t="str">
        <f t="shared" si="3"/>
        <v>Yes</v>
      </c>
      <c r="O118" s="11">
        <v>20</v>
      </c>
    </row>
    <row r="119" spans="1:15" ht="16.5" customHeight="1" x14ac:dyDescent="0.25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 t="str">
        <f t="shared" si="2"/>
        <v>No</v>
      </c>
      <c r="M119" s="11">
        <v>0</v>
      </c>
      <c r="N119" s="11" t="str">
        <f t="shared" si="3"/>
        <v>No</v>
      </c>
      <c r="O119" s="11">
        <v>5</v>
      </c>
    </row>
    <row r="120" spans="1:15" ht="16.5" customHeight="1" x14ac:dyDescent="0.25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 t="str">
        <f t="shared" si="2"/>
        <v>Yes</v>
      </c>
      <c r="M120" s="11">
        <v>3</v>
      </c>
      <c r="N120" s="11" t="str">
        <f t="shared" si="3"/>
        <v>Yes</v>
      </c>
      <c r="O120" s="11">
        <v>62</v>
      </c>
    </row>
    <row r="121" spans="1:15" ht="16.5" customHeight="1" x14ac:dyDescent="0.25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 t="str">
        <f t="shared" si="2"/>
        <v>No</v>
      </c>
      <c r="M121" s="11">
        <v>15</v>
      </c>
      <c r="N121" s="11" t="str">
        <f t="shared" si="3"/>
        <v>Yes</v>
      </c>
      <c r="O121" s="11">
        <v>15</v>
      </c>
    </row>
    <row r="122" spans="1:15" ht="16.5" customHeight="1" x14ac:dyDescent="0.25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 t="str">
        <f t="shared" si="2"/>
        <v>No</v>
      </c>
      <c r="M122" s="11">
        <v>1</v>
      </c>
      <c r="N122" s="11" t="str">
        <f t="shared" si="3"/>
        <v>Yes</v>
      </c>
      <c r="O122" s="11">
        <v>4</v>
      </c>
    </row>
    <row r="123" spans="1:15" ht="16.5" customHeight="1" x14ac:dyDescent="0.25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 t="str">
        <f t="shared" si="2"/>
        <v>Yes</v>
      </c>
      <c r="M123" s="11">
        <v>7</v>
      </c>
      <c r="N123" s="11" t="str">
        <f t="shared" si="3"/>
        <v>Yes</v>
      </c>
      <c r="O123" s="11">
        <v>58</v>
      </c>
    </row>
    <row r="124" spans="1:15" ht="16.5" customHeight="1" x14ac:dyDescent="0.25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 t="str">
        <f t="shared" si="2"/>
        <v>No</v>
      </c>
      <c r="M124" s="11">
        <v>10</v>
      </c>
      <c r="N124" s="11" t="str">
        <f t="shared" si="3"/>
        <v>Yes</v>
      </c>
      <c r="O124" s="11">
        <v>20</v>
      </c>
    </row>
    <row r="125" spans="1:15" ht="16.5" customHeight="1" x14ac:dyDescent="0.25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 t="str">
        <f t="shared" si="2"/>
        <v>No</v>
      </c>
      <c r="M125" s="11">
        <v>0</v>
      </c>
      <c r="N125" s="11" t="str">
        <f t="shared" si="3"/>
        <v>No</v>
      </c>
      <c r="O125" s="11">
        <v>5</v>
      </c>
    </row>
    <row r="126" spans="1:15" ht="16.5" customHeight="1" x14ac:dyDescent="0.25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 t="str">
        <f t="shared" si="2"/>
        <v>Yes</v>
      </c>
      <c r="M126" s="11">
        <v>20</v>
      </c>
      <c r="N126" s="11" t="str">
        <f t="shared" si="3"/>
        <v>Yes</v>
      </c>
      <c r="O126" s="11">
        <v>45</v>
      </c>
    </row>
    <row r="127" spans="1:15" ht="16.5" customHeight="1" x14ac:dyDescent="0.25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 t="str">
        <f t="shared" si="2"/>
        <v>No</v>
      </c>
      <c r="M127" s="11">
        <v>15</v>
      </c>
      <c r="N127" s="11" t="str">
        <f t="shared" si="3"/>
        <v>Yes</v>
      </c>
      <c r="O127" s="11">
        <v>15</v>
      </c>
    </row>
    <row r="128" spans="1:15" ht="16.5" customHeight="1" x14ac:dyDescent="0.25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 t="str">
        <f t="shared" si="2"/>
        <v>No</v>
      </c>
      <c r="M128" s="11">
        <v>1</v>
      </c>
      <c r="N128" s="11" t="str">
        <f t="shared" si="3"/>
        <v>Yes</v>
      </c>
      <c r="O128" s="11">
        <v>4</v>
      </c>
    </row>
    <row r="129" spans="1:15" ht="16.5" customHeight="1" x14ac:dyDescent="0.25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 t="str">
        <f t="shared" si="2"/>
        <v>Yes</v>
      </c>
      <c r="M129" s="11">
        <v>3</v>
      </c>
      <c r="N129" s="11" t="str">
        <f t="shared" si="3"/>
        <v>Yes</v>
      </c>
      <c r="O129" s="11">
        <v>62</v>
      </c>
    </row>
    <row r="130" spans="1:15" ht="16.5" customHeight="1" x14ac:dyDescent="0.25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 t="str">
        <f t="shared" ref="L130:L193" si="4">IF(OR(F130="Yes", H130="Yes"), "Yes", "No")</f>
        <v>No</v>
      </c>
      <c r="M130" s="11">
        <v>10</v>
      </c>
      <c r="N130" s="11" t="str">
        <f t="shared" ref="N130:N193" si="5">IF(OR(M130="",M130=0),"No","Yes")</f>
        <v>Yes</v>
      </c>
      <c r="O130" s="11">
        <v>20</v>
      </c>
    </row>
    <row r="131" spans="1:15" ht="16.5" customHeight="1" x14ac:dyDescent="0.25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 t="str">
        <f t="shared" si="4"/>
        <v>No</v>
      </c>
      <c r="M131" s="11">
        <v>0</v>
      </c>
      <c r="N131" s="11" t="str">
        <f t="shared" si="5"/>
        <v>No</v>
      </c>
      <c r="O131" s="11">
        <v>5</v>
      </c>
    </row>
    <row r="132" spans="1:15" ht="16.5" customHeight="1" x14ac:dyDescent="0.25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 t="str">
        <f t="shared" si="4"/>
        <v>Yes</v>
      </c>
      <c r="M132" s="11">
        <v>15</v>
      </c>
      <c r="N132" s="11" t="str">
        <f t="shared" si="5"/>
        <v>Yes</v>
      </c>
      <c r="O132" s="11">
        <v>50</v>
      </c>
    </row>
    <row r="133" spans="1:15" ht="16.5" customHeight="1" x14ac:dyDescent="0.25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 t="str">
        <f t="shared" si="4"/>
        <v>No</v>
      </c>
      <c r="M133" s="11">
        <v>15</v>
      </c>
      <c r="N133" s="11" t="str">
        <f t="shared" si="5"/>
        <v>Yes</v>
      </c>
      <c r="O133" s="11">
        <v>15</v>
      </c>
    </row>
    <row r="134" spans="1:15" ht="16.5" customHeight="1" x14ac:dyDescent="0.25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 t="str">
        <f t="shared" si="4"/>
        <v>No</v>
      </c>
      <c r="M134" s="11">
        <v>1</v>
      </c>
      <c r="N134" s="11" t="str">
        <f t="shared" si="5"/>
        <v>Yes</v>
      </c>
      <c r="O134" s="11">
        <v>4</v>
      </c>
    </row>
    <row r="135" spans="1:15" ht="16.5" customHeight="1" x14ac:dyDescent="0.25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 t="str">
        <f t="shared" si="4"/>
        <v>Yes</v>
      </c>
      <c r="M135" s="11">
        <v>7</v>
      </c>
      <c r="N135" s="11" t="str">
        <f t="shared" si="5"/>
        <v>Yes</v>
      </c>
      <c r="O135" s="11">
        <v>58</v>
      </c>
    </row>
    <row r="136" spans="1:15" ht="16.5" customHeight="1" x14ac:dyDescent="0.25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 t="str">
        <f t="shared" si="4"/>
        <v>No</v>
      </c>
      <c r="M136" s="11">
        <v>10</v>
      </c>
      <c r="N136" s="11" t="str">
        <f t="shared" si="5"/>
        <v>Yes</v>
      </c>
      <c r="O136" s="11">
        <v>20</v>
      </c>
    </row>
    <row r="137" spans="1:15" ht="16.5" customHeight="1" x14ac:dyDescent="0.25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 t="str">
        <f t="shared" si="4"/>
        <v>No</v>
      </c>
      <c r="M137" s="11">
        <v>0</v>
      </c>
      <c r="N137" s="11" t="str">
        <f t="shared" si="5"/>
        <v>No</v>
      </c>
      <c r="O137" s="11">
        <v>5</v>
      </c>
    </row>
    <row r="138" spans="1:15" ht="16.5" customHeight="1" x14ac:dyDescent="0.25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 t="str">
        <f t="shared" si="4"/>
        <v>Yes</v>
      </c>
      <c r="M138" s="11">
        <v>7</v>
      </c>
      <c r="N138" s="11" t="str">
        <f t="shared" si="5"/>
        <v>Yes</v>
      </c>
      <c r="O138" s="11">
        <v>58</v>
      </c>
    </row>
    <row r="139" spans="1:15" ht="16.5" customHeight="1" x14ac:dyDescent="0.25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 t="str">
        <f t="shared" si="4"/>
        <v>No</v>
      </c>
      <c r="M139" s="11">
        <v>10</v>
      </c>
      <c r="N139" s="11" t="str">
        <f t="shared" si="5"/>
        <v>Yes</v>
      </c>
      <c r="O139" s="11">
        <v>20</v>
      </c>
    </row>
    <row r="140" spans="1:15" ht="16.5" customHeight="1" x14ac:dyDescent="0.25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 t="str">
        <f t="shared" si="4"/>
        <v>No</v>
      </c>
      <c r="M140" s="11">
        <v>1</v>
      </c>
      <c r="N140" s="11" t="str">
        <f t="shared" si="5"/>
        <v>Yes</v>
      </c>
      <c r="O140" s="11">
        <v>4</v>
      </c>
    </row>
    <row r="141" spans="1:15" ht="16.5" customHeight="1" x14ac:dyDescent="0.25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 t="str">
        <f t="shared" si="4"/>
        <v>Yes</v>
      </c>
      <c r="M141" s="11">
        <v>15</v>
      </c>
      <c r="N141" s="11" t="str">
        <f t="shared" si="5"/>
        <v>Yes</v>
      </c>
      <c r="O141" s="11">
        <v>50</v>
      </c>
    </row>
    <row r="142" spans="1:15" ht="16.5" customHeight="1" x14ac:dyDescent="0.25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 t="str">
        <f t="shared" si="4"/>
        <v>No</v>
      </c>
      <c r="M142" s="11">
        <v>5</v>
      </c>
      <c r="N142" s="11" t="str">
        <f t="shared" si="5"/>
        <v>Yes</v>
      </c>
      <c r="O142" s="11">
        <v>25</v>
      </c>
    </row>
    <row r="143" spans="1:15" ht="16.5" customHeight="1" x14ac:dyDescent="0.25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 t="str">
        <f t="shared" si="4"/>
        <v>No</v>
      </c>
      <c r="M143" s="11">
        <v>0</v>
      </c>
      <c r="N143" s="11" t="str">
        <f t="shared" si="5"/>
        <v>No</v>
      </c>
      <c r="O143" s="11">
        <v>5</v>
      </c>
    </row>
    <row r="144" spans="1:15" ht="16.5" customHeight="1" x14ac:dyDescent="0.25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 t="str">
        <f t="shared" si="4"/>
        <v>Yes</v>
      </c>
      <c r="M144" s="11">
        <v>20</v>
      </c>
      <c r="N144" s="11" t="str">
        <f t="shared" si="5"/>
        <v>Yes</v>
      </c>
      <c r="O144" s="11">
        <v>45</v>
      </c>
    </row>
    <row r="145" spans="1:15" ht="16.5" customHeight="1" x14ac:dyDescent="0.25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 t="str">
        <f t="shared" si="4"/>
        <v>No</v>
      </c>
      <c r="M145" s="11">
        <v>12</v>
      </c>
      <c r="N145" s="11" t="str">
        <f t="shared" si="5"/>
        <v>Yes</v>
      </c>
      <c r="O145" s="11">
        <v>18</v>
      </c>
    </row>
    <row r="146" spans="1:15" ht="16.5" customHeight="1" x14ac:dyDescent="0.25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 t="str">
        <f t="shared" si="4"/>
        <v>No</v>
      </c>
      <c r="M146" s="11">
        <v>2</v>
      </c>
      <c r="N146" s="11" t="str">
        <f t="shared" si="5"/>
        <v>Yes</v>
      </c>
      <c r="O146" s="11">
        <v>3</v>
      </c>
    </row>
    <row r="147" spans="1:15" ht="16.5" customHeight="1" x14ac:dyDescent="0.25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 t="str">
        <f t="shared" si="4"/>
        <v>Yes</v>
      </c>
      <c r="M147" s="11">
        <v>5</v>
      </c>
      <c r="N147" s="11" t="str">
        <f t="shared" si="5"/>
        <v>Yes</v>
      </c>
      <c r="O147" s="11">
        <v>60</v>
      </c>
    </row>
    <row r="148" spans="1:15" ht="16.5" customHeight="1" x14ac:dyDescent="0.25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 t="str">
        <f t="shared" si="4"/>
        <v>No</v>
      </c>
      <c r="M148" s="11">
        <v>10</v>
      </c>
      <c r="N148" s="11" t="str">
        <f t="shared" si="5"/>
        <v>Yes</v>
      </c>
      <c r="O148" s="11">
        <v>20</v>
      </c>
    </row>
    <row r="149" spans="1:15" ht="16.5" customHeight="1" x14ac:dyDescent="0.25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 t="str">
        <f t="shared" si="4"/>
        <v>No</v>
      </c>
      <c r="M149" s="11">
        <v>0</v>
      </c>
      <c r="N149" s="11" t="str">
        <f t="shared" si="5"/>
        <v>No</v>
      </c>
      <c r="O149" s="11">
        <v>5</v>
      </c>
    </row>
    <row r="150" spans="1:15" ht="16.5" customHeight="1" x14ac:dyDescent="0.25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 t="str">
        <f t="shared" si="4"/>
        <v>Yes</v>
      </c>
      <c r="M150" s="11">
        <v>3</v>
      </c>
      <c r="N150" s="11" t="str">
        <f t="shared" si="5"/>
        <v>Yes</v>
      </c>
      <c r="O150" s="11">
        <v>62</v>
      </c>
    </row>
    <row r="151" spans="1:15" ht="16.5" customHeight="1" x14ac:dyDescent="0.25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 t="str">
        <f t="shared" si="4"/>
        <v>No</v>
      </c>
      <c r="M151" s="11">
        <v>15</v>
      </c>
      <c r="N151" s="11" t="str">
        <f t="shared" si="5"/>
        <v>Yes</v>
      </c>
      <c r="O151" s="11">
        <v>15</v>
      </c>
    </row>
    <row r="152" spans="1:15" ht="16.5" customHeight="1" x14ac:dyDescent="0.25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 t="str">
        <f t="shared" si="4"/>
        <v>No</v>
      </c>
      <c r="M152" s="11">
        <v>1</v>
      </c>
      <c r="N152" s="11" t="str">
        <f t="shared" si="5"/>
        <v>Yes</v>
      </c>
      <c r="O152" s="11">
        <v>4</v>
      </c>
    </row>
    <row r="153" spans="1:15" ht="16.5" customHeight="1" x14ac:dyDescent="0.25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 t="str">
        <f t="shared" si="4"/>
        <v>Yes</v>
      </c>
      <c r="M153" s="11">
        <v>7</v>
      </c>
      <c r="N153" s="11" t="str">
        <f t="shared" si="5"/>
        <v>Yes</v>
      </c>
      <c r="O153" s="11">
        <v>58</v>
      </c>
    </row>
    <row r="154" spans="1:15" ht="16.5" customHeight="1" x14ac:dyDescent="0.25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 t="str">
        <f t="shared" si="4"/>
        <v>No</v>
      </c>
      <c r="M154" s="11">
        <v>10</v>
      </c>
      <c r="N154" s="11" t="str">
        <f t="shared" si="5"/>
        <v>Yes</v>
      </c>
      <c r="O154" s="11">
        <v>20</v>
      </c>
    </row>
    <row r="155" spans="1:15" ht="16.5" customHeight="1" x14ac:dyDescent="0.25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 t="str">
        <f t="shared" si="4"/>
        <v>No</v>
      </c>
      <c r="M155" s="11">
        <v>0</v>
      </c>
      <c r="N155" s="11" t="str">
        <f t="shared" si="5"/>
        <v>No</v>
      </c>
      <c r="O155" s="11">
        <v>5</v>
      </c>
    </row>
    <row r="156" spans="1:15" ht="16.5" customHeight="1" x14ac:dyDescent="0.25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 t="str">
        <f t="shared" si="4"/>
        <v>Yes</v>
      </c>
      <c r="M156" s="11">
        <v>20</v>
      </c>
      <c r="N156" s="11" t="str">
        <f t="shared" si="5"/>
        <v>Yes</v>
      </c>
      <c r="O156" s="11">
        <v>45</v>
      </c>
    </row>
    <row r="157" spans="1:15" ht="16.5" customHeight="1" x14ac:dyDescent="0.25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 t="str">
        <f t="shared" si="4"/>
        <v>No</v>
      </c>
      <c r="M157" s="11">
        <v>15</v>
      </c>
      <c r="N157" s="11" t="str">
        <f t="shared" si="5"/>
        <v>Yes</v>
      </c>
      <c r="O157" s="11">
        <v>15</v>
      </c>
    </row>
    <row r="158" spans="1:15" ht="16.5" customHeight="1" x14ac:dyDescent="0.25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 t="str">
        <f t="shared" si="4"/>
        <v>No</v>
      </c>
      <c r="M158" s="11">
        <v>1</v>
      </c>
      <c r="N158" s="11" t="str">
        <f t="shared" si="5"/>
        <v>Yes</v>
      </c>
      <c r="O158" s="11">
        <v>4</v>
      </c>
    </row>
    <row r="159" spans="1:15" ht="16.5" customHeight="1" x14ac:dyDescent="0.25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 t="str">
        <f t="shared" si="4"/>
        <v>Yes</v>
      </c>
      <c r="M159" s="11">
        <v>3</v>
      </c>
      <c r="N159" s="11" t="str">
        <f t="shared" si="5"/>
        <v>Yes</v>
      </c>
      <c r="O159" s="11">
        <v>62</v>
      </c>
    </row>
    <row r="160" spans="1:15" ht="16.5" customHeight="1" x14ac:dyDescent="0.25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 t="str">
        <f t="shared" si="4"/>
        <v>No</v>
      </c>
      <c r="M160" s="11">
        <v>10</v>
      </c>
      <c r="N160" s="11" t="str">
        <f t="shared" si="5"/>
        <v>Yes</v>
      </c>
      <c r="O160" s="11">
        <v>20</v>
      </c>
    </row>
    <row r="161" spans="1:15" ht="16.5" customHeight="1" x14ac:dyDescent="0.25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 t="str">
        <f t="shared" si="4"/>
        <v>No</v>
      </c>
      <c r="M161" s="11">
        <v>0</v>
      </c>
      <c r="N161" s="11" t="str">
        <f t="shared" si="5"/>
        <v>No</v>
      </c>
      <c r="O161" s="11">
        <v>5</v>
      </c>
    </row>
    <row r="162" spans="1:15" ht="16.5" customHeight="1" x14ac:dyDescent="0.25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 t="str">
        <f t="shared" si="4"/>
        <v>Yes</v>
      </c>
      <c r="M162" s="11">
        <v>15</v>
      </c>
      <c r="N162" s="11" t="str">
        <f t="shared" si="5"/>
        <v>Yes</v>
      </c>
      <c r="O162" s="11">
        <v>50</v>
      </c>
    </row>
    <row r="163" spans="1:15" ht="16.5" customHeight="1" x14ac:dyDescent="0.25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 t="str">
        <f t="shared" si="4"/>
        <v>No</v>
      </c>
      <c r="M163" s="11">
        <v>15</v>
      </c>
      <c r="N163" s="11" t="str">
        <f t="shared" si="5"/>
        <v>Yes</v>
      </c>
      <c r="O163" s="11">
        <v>15</v>
      </c>
    </row>
    <row r="164" spans="1:15" ht="16.5" customHeight="1" x14ac:dyDescent="0.25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 t="str">
        <f t="shared" si="4"/>
        <v>No</v>
      </c>
      <c r="M164" s="11">
        <v>1</v>
      </c>
      <c r="N164" s="11" t="str">
        <f t="shared" si="5"/>
        <v>Yes</v>
      </c>
      <c r="O164" s="11">
        <v>4</v>
      </c>
    </row>
    <row r="165" spans="1:15" ht="16.5" customHeight="1" x14ac:dyDescent="0.25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 t="str">
        <f t="shared" si="4"/>
        <v>Yes</v>
      </c>
      <c r="M165" s="11">
        <v>7</v>
      </c>
      <c r="N165" s="11" t="str">
        <f t="shared" si="5"/>
        <v>Yes</v>
      </c>
      <c r="O165" s="11">
        <v>58</v>
      </c>
    </row>
    <row r="166" spans="1:15" ht="16.5" customHeight="1" x14ac:dyDescent="0.25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 t="str">
        <f t="shared" si="4"/>
        <v>No</v>
      </c>
      <c r="M166" s="11">
        <v>10</v>
      </c>
      <c r="N166" s="11" t="str">
        <f t="shared" si="5"/>
        <v>Yes</v>
      </c>
      <c r="O166" s="11">
        <v>20</v>
      </c>
    </row>
    <row r="167" spans="1:15" ht="16.5" customHeight="1" x14ac:dyDescent="0.25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 t="str">
        <f t="shared" si="4"/>
        <v>No</v>
      </c>
      <c r="M167" s="11">
        <v>0</v>
      </c>
      <c r="N167" s="11" t="str">
        <f t="shared" si="5"/>
        <v>No</v>
      </c>
      <c r="O167" s="11">
        <v>5</v>
      </c>
    </row>
    <row r="168" spans="1:15" ht="16.5" customHeight="1" x14ac:dyDescent="0.25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 t="str">
        <f t="shared" si="4"/>
        <v>Yes</v>
      </c>
      <c r="M168" s="11">
        <v>20</v>
      </c>
      <c r="N168" s="11" t="str">
        <f t="shared" si="5"/>
        <v>Yes</v>
      </c>
      <c r="O168" s="11">
        <v>45</v>
      </c>
    </row>
    <row r="169" spans="1:15" ht="16.5" customHeight="1" x14ac:dyDescent="0.25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 t="str">
        <f t="shared" si="4"/>
        <v>No</v>
      </c>
      <c r="M169" s="11">
        <v>15</v>
      </c>
      <c r="N169" s="11" t="str">
        <f t="shared" si="5"/>
        <v>Yes</v>
      </c>
      <c r="O169" s="11">
        <v>15</v>
      </c>
    </row>
    <row r="170" spans="1:15" ht="16.5" customHeight="1" x14ac:dyDescent="0.25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 t="str">
        <f t="shared" si="4"/>
        <v>No</v>
      </c>
      <c r="M170" s="11">
        <v>1</v>
      </c>
      <c r="N170" s="11" t="str">
        <f t="shared" si="5"/>
        <v>Yes</v>
      </c>
      <c r="O170" s="11">
        <v>4</v>
      </c>
    </row>
    <row r="171" spans="1:15" ht="16.5" customHeight="1" x14ac:dyDescent="0.25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 t="str">
        <f t="shared" si="4"/>
        <v>Yes</v>
      </c>
      <c r="M171" s="11">
        <v>5</v>
      </c>
      <c r="N171" s="11" t="str">
        <f t="shared" si="5"/>
        <v>Yes</v>
      </c>
      <c r="O171" s="11">
        <v>60</v>
      </c>
    </row>
    <row r="172" spans="1:15" ht="16.5" customHeight="1" x14ac:dyDescent="0.25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 t="str">
        <f t="shared" si="4"/>
        <v>No</v>
      </c>
      <c r="M172" s="11">
        <v>10</v>
      </c>
      <c r="N172" s="11" t="str">
        <f t="shared" si="5"/>
        <v>Yes</v>
      </c>
      <c r="O172" s="11">
        <v>20</v>
      </c>
    </row>
    <row r="173" spans="1:15" ht="16.5" customHeight="1" x14ac:dyDescent="0.25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 t="str">
        <f t="shared" si="4"/>
        <v>No</v>
      </c>
      <c r="M173" s="11">
        <v>0</v>
      </c>
      <c r="N173" s="11" t="str">
        <f t="shared" si="5"/>
        <v>No</v>
      </c>
      <c r="O173" s="11">
        <v>5</v>
      </c>
    </row>
    <row r="174" spans="1:15" ht="16.5" customHeight="1" x14ac:dyDescent="0.25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 t="str">
        <f t="shared" si="4"/>
        <v>Yes</v>
      </c>
      <c r="M174" s="11">
        <v>3</v>
      </c>
      <c r="N174" s="11" t="str">
        <f t="shared" si="5"/>
        <v>Yes</v>
      </c>
      <c r="O174" s="11">
        <v>62</v>
      </c>
    </row>
    <row r="175" spans="1:15" ht="16.5" customHeight="1" x14ac:dyDescent="0.25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 t="str">
        <f t="shared" si="4"/>
        <v>No</v>
      </c>
      <c r="M175" s="11">
        <v>15</v>
      </c>
      <c r="N175" s="11" t="str">
        <f t="shared" si="5"/>
        <v>Yes</v>
      </c>
      <c r="O175" s="11">
        <v>15</v>
      </c>
    </row>
    <row r="176" spans="1:15" ht="16.5" customHeight="1" x14ac:dyDescent="0.25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 t="str">
        <f t="shared" si="4"/>
        <v>No</v>
      </c>
      <c r="M176" s="11">
        <v>1</v>
      </c>
      <c r="N176" s="11" t="str">
        <f t="shared" si="5"/>
        <v>Yes</v>
      </c>
      <c r="O176" s="11">
        <v>4</v>
      </c>
    </row>
    <row r="177" spans="1:15" ht="16.5" customHeight="1" x14ac:dyDescent="0.25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 t="str">
        <f t="shared" si="4"/>
        <v>No</v>
      </c>
      <c r="M177" s="11">
        <v>0</v>
      </c>
      <c r="N177" s="11" t="str">
        <f t="shared" si="5"/>
        <v>No</v>
      </c>
      <c r="O177" s="11">
        <v>5</v>
      </c>
    </row>
    <row r="178" spans="1:15" ht="16.5" customHeight="1" x14ac:dyDescent="0.25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 t="str">
        <f t="shared" si="4"/>
        <v>Yes</v>
      </c>
      <c r="M178" s="11">
        <v>7</v>
      </c>
      <c r="N178" s="11" t="str">
        <f t="shared" si="5"/>
        <v>Yes</v>
      </c>
      <c r="O178" s="11">
        <v>58</v>
      </c>
    </row>
    <row r="179" spans="1:15" ht="16.5" customHeight="1" x14ac:dyDescent="0.25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 t="str">
        <f t="shared" si="4"/>
        <v>No</v>
      </c>
      <c r="M179" s="11">
        <v>10</v>
      </c>
      <c r="N179" s="11" t="str">
        <f t="shared" si="5"/>
        <v>Yes</v>
      </c>
      <c r="O179" s="11">
        <v>20</v>
      </c>
    </row>
    <row r="180" spans="1:15" ht="16.5" customHeight="1" x14ac:dyDescent="0.25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 t="str">
        <f t="shared" si="4"/>
        <v>No</v>
      </c>
      <c r="M180" s="11">
        <v>1</v>
      </c>
      <c r="N180" s="11" t="str">
        <f t="shared" si="5"/>
        <v>Yes</v>
      </c>
      <c r="O180" s="11">
        <v>4</v>
      </c>
    </row>
    <row r="181" spans="1:15" ht="16.5" customHeight="1" x14ac:dyDescent="0.25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 t="str">
        <f t="shared" si="4"/>
        <v>Yes</v>
      </c>
      <c r="M181" s="11">
        <v>15</v>
      </c>
      <c r="N181" s="11" t="str">
        <f t="shared" si="5"/>
        <v>Yes</v>
      </c>
      <c r="O181" s="11">
        <v>50</v>
      </c>
    </row>
    <row r="182" spans="1:15" ht="16.5" customHeight="1" x14ac:dyDescent="0.25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 t="str">
        <f t="shared" si="4"/>
        <v>No</v>
      </c>
      <c r="M182" s="11">
        <v>5</v>
      </c>
      <c r="N182" s="11" t="str">
        <f t="shared" si="5"/>
        <v>Yes</v>
      </c>
      <c r="O182" s="11">
        <v>25</v>
      </c>
    </row>
    <row r="183" spans="1:15" ht="16.5" customHeight="1" x14ac:dyDescent="0.25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 t="str">
        <f t="shared" si="4"/>
        <v>No</v>
      </c>
      <c r="M183" s="11">
        <v>0</v>
      </c>
      <c r="N183" s="11" t="str">
        <f t="shared" si="5"/>
        <v>No</v>
      </c>
      <c r="O183" s="11">
        <v>5</v>
      </c>
    </row>
    <row r="184" spans="1:15" ht="16.5" customHeight="1" x14ac:dyDescent="0.25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 t="str">
        <f t="shared" si="4"/>
        <v>Yes</v>
      </c>
      <c r="M184" s="11">
        <v>20</v>
      </c>
      <c r="N184" s="11" t="str">
        <f t="shared" si="5"/>
        <v>Yes</v>
      </c>
      <c r="O184" s="11">
        <v>45</v>
      </c>
    </row>
    <row r="185" spans="1:15" ht="16.5" customHeight="1" x14ac:dyDescent="0.25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 t="str">
        <f t="shared" si="4"/>
        <v>No</v>
      </c>
      <c r="M185" s="11">
        <v>12</v>
      </c>
      <c r="N185" s="11" t="str">
        <f t="shared" si="5"/>
        <v>Yes</v>
      </c>
      <c r="O185" s="11">
        <v>18</v>
      </c>
    </row>
    <row r="186" spans="1:15" ht="16.5" customHeight="1" x14ac:dyDescent="0.25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 t="str">
        <f t="shared" si="4"/>
        <v>No</v>
      </c>
      <c r="M186" s="11">
        <v>2</v>
      </c>
      <c r="N186" s="11" t="str">
        <f t="shared" si="5"/>
        <v>Yes</v>
      </c>
      <c r="O186" s="11">
        <v>3</v>
      </c>
    </row>
    <row r="187" spans="1:15" ht="16.5" customHeight="1" x14ac:dyDescent="0.25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 t="str">
        <f t="shared" si="4"/>
        <v>Yes</v>
      </c>
      <c r="M187" s="11">
        <v>5</v>
      </c>
      <c r="N187" s="11" t="str">
        <f t="shared" si="5"/>
        <v>Yes</v>
      </c>
      <c r="O187" s="11">
        <v>60</v>
      </c>
    </row>
    <row r="188" spans="1:15" ht="16.5" customHeight="1" x14ac:dyDescent="0.25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 t="str">
        <f t="shared" si="4"/>
        <v>No</v>
      </c>
      <c r="M188" s="11">
        <v>10</v>
      </c>
      <c r="N188" s="11" t="str">
        <f t="shared" si="5"/>
        <v>Yes</v>
      </c>
      <c r="O188" s="11">
        <v>20</v>
      </c>
    </row>
    <row r="189" spans="1:15" ht="16.5" customHeight="1" x14ac:dyDescent="0.25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 t="str">
        <f t="shared" si="4"/>
        <v>No</v>
      </c>
      <c r="M189" s="11">
        <v>0</v>
      </c>
      <c r="N189" s="11" t="str">
        <f t="shared" si="5"/>
        <v>No</v>
      </c>
      <c r="O189" s="11">
        <v>5</v>
      </c>
    </row>
    <row r="190" spans="1:15" ht="16.5" customHeight="1" x14ac:dyDescent="0.25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 t="str">
        <f t="shared" si="4"/>
        <v>Yes</v>
      </c>
      <c r="M190" s="11">
        <v>3</v>
      </c>
      <c r="N190" s="11" t="str">
        <f t="shared" si="5"/>
        <v>Yes</v>
      </c>
      <c r="O190" s="11">
        <v>62</v>
      </c>
    </row>
    <row r="191" spans="1:15" ht="16.5" customHeight="1" x14ac:dyDescent="0.25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 t="str">
        <f t="shared" si="4"/>
        <v>No</v>
      </c>
      <c r="M191" s="11">
        <v>15</v>
      </c>
      <c r="N191" s="11" t="str">
        <f t="shared" si="5"/>
        <v>Yes</v>
      </c>
      <c r="O191" s="11">
        <v>15</v>
      </c>
    </row>
    <row r="192" spans="1:15" ht="16.5" customHeight="1" x14ac:dyDescent="0.25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 t="str">
        <f t="shared" si="4"/>
        <v>No</v>
      </c>
      <c r="M192" s="11">
        <v>1</v>
      </c>
      <c r="N192" s="11" t="str">
        <f t="shared" si="5"/>
        <v>Yes</v>
      </c>
      <c r="O192" s="11">
        <v>4</v>
      </c>
    </row>
    <row r="193" spans="1:15" ht="16.5" customHeight="1" x14ac:dyDescent="0.25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 t="str">
        <f t="shared" si="4"/>
        <v>Yes</v>
      </c>
      <c r="M193" s="11">
        <v>7</v>
      </c>
      <c r="N193" s="11" t="str">
        <f t="shared" si="5"/>
        <v>Yes</v>
      </c>
      <c r="O193" s="11">
        <v>58</v>
      </c>
    </row>
    <row r="194" spans="1:15" ht="16.5" customHeight="1" x14ac:dyDescent="0.25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 t="str">
        <f t="shared" ref="L194:L257" si="6">IF(OR(F194="Yes", H194="Yes"), "Yes", "No")</f>
        <v>No</v>
      </c>
      <c r="M194" s="11">
        <v>10</v>
      </c>
      <c r="N194" s="11" t="str">
        <f t="shared" ref="N194:N257" si="7">IF(OR(M194="",M194=0),"No","Yes")</f>
        <v>Yes</v>
      </c>
      <c r="O194" s="11">
        <v>20</v>
      </c>
    </row>
    <row r="195" spans="1:15" ht="16.5" customHeight="1" x14ac:dyDescent="0.25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 t="str">
        <f t="shared" si="6"/>
        <v>No</v>
      </c>
      <c r="M195" s="11">
        <v>0</v>
      </c>
      <c r="N195" s="11" t="str">
        <f t="shared" si="7"/>
        <v>No</v>
      </c>
      <c r="O195" s="11">
        <v>5</v>
      </c>
    </row>
    <row r="196" spans="1:15" ht="16.5" customHeight="1" x14ac:dyDescent="0.25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 t="str">
        <f t="shared" si="6"/>
        <v>Yes</v>
      </c>
      <c r="M196" s="11">
        <v>20</v>
      </c>
      <c r="N196" s="11" t="str">
        <f t="shared" si="7"/>
        <v>Yes</v>
      </c>
      <c r="O196" s="11">
        <v>45</v>
      </c>
    </row>
    <row r="197" spans="1:15" ht="16.5" customHeight="1" x14ac:dyDescent="0.25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 t="str">
        <f t="shared" si="6"/>
        <v>No</v>
      </c>
      <c r="M197" s="11">
        <v>15</v>
      </c>
      <c r="N197" s="11" t="str">
        <f t="shared" si="7"/>
        <v>Yes</v>
      </c>
      <c r="O197" s="11">
        <v>15</v>
      </c>
    </row>
    <row r="198" spans="1:15" ht="16.5" customHeight="1" x14ac:dyDescent="0.25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 t="str">
        <f t="shared" si="6"/>
        <v>No</v>
      </c>
      <c r="M198" s="11">
        <v>1</v>
      </c>
      <c r="N198" s="11" t="str">
        <f t="shared" si="7"/>
        <v>Yes</v>
      </c>
      <c r="O198" s="11">
        <v>4</v>
      </c>
    </row>
    <row r="199" spans="1:15" ht="16.5" customHeight="1" x14ac:dyDescent="0.25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 t="str">
        <f t="shared" si="6"/>
        <v>Yes</v>
      </c>
      <c r="M199" s="11">
        <v>3</v>
      </c>
      <c r="N199" s="11" t="str">
        <f t="shared" si="7"/>
        <v>Yes</v>
      </c>
      <c r="O199" s="11">
        <v>62</v>
      </c>
    </row>
    <row r="200" spans="1:15" ht="16.5" customHeight="1" x14ac:dyDescent="0.25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 t="str">
        <f t="shared" si="6"/>
        <v>No</v>
      </c>
      <c r="M200" s="11">
        <v>10</v>
      </c>
      <c r="N200" s="11" t="str">
        <f t="shared" si="7"/>
        <v>Yes</v>
      </c>
      <c r="O200" s="11">
        <v>20</v>
      </c>
    </row>
    <row r="201" spans="1:15" ht="16.5" customHeight="1" x14ac:dyDescent="0.25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 t="str">
        <f t="shared" si="6"/>
        <v>No</v>
      </c>
      <c r="M201" s="11">
        <v>0</v>
      </c>
      <c r="N201" s="11" t="str">
        <f t="shared" si="7"/>
        <v>No</v>
      </c>
      <c r="O201" s="11">
        <v>5</v>
      </c>
    </row>
    <row r="202" spans="1:15" ht="16.5" customHeight="1" x14ac:dyDescent="0.25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 t="str">
        <f t="shared" si="6"/>
        <v>Yes</v>
      </c>
      <c r="M202" s="11">
        <v>15</v>
      </c>
      <c r="N202" s="11" t="str">
        <f t="shared" si="7"/>
        <v>Yes</v>
      </c>
      <c r="O202" s="11">
        <v>50</v>
      </c>
    </row>
    <row r="203" spans="1:15" ht="16.5" customHeight="1" x14ac:dyDescent="0.25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 t="str">
        <f t="shared" si="6"/>
        <v>No</v>
      </c>
      <c r="M203" s="11">
        <v>15</v>
      </c>
      <c r="N203" s="11" t="str">
        <f t="shared" si="7"/>
        <v>Yes</v>
      </c>
      <c r="O203" s="11">
        <v>15</v>
      </c>
    </row>
    <row r="204" spans="1:15" ht="16.5" customHeight="1" x14ac:dyDescent="0.25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 t="str">
        <f t="shared" si="6"/>
        <v>No</v>
      </c>
      <c r="M204" s="11">
        <v>1</v>
      </c>
      <c r="N204" s="11" t="str">
        <f t="shared" si="7"/>
        <v>Yes</v>
      </c>
      <c r="O204" s="11">
        <v>4</v>
      </c>
    </row>
    <row r="205" spans="1:15" ht="16.5" customHeight="1" x14ac:dyDescent="0.25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 t="str">
        <f t="shared" si="6"/>
        <v>Yes</v>
      </c>
      <c r="M205" s="11">
        <v>7</v>
      </c>
      <c r="N205" s="11" t="str">
        <f t="shared" si="7"/>
        <v>Yes</v>
      </c>
      <c r="O205" s="11">
        <v>58</v>
      </c>
    </row>
    <row r="206" spans="1:15" ht="16.5" customHeight="1" x14ac:dyDescent="0.25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 t="str">
        <f t="shared" si="6"/>
        <v>No</v>
      </c>
      <c r="M206" s="11">
        <v>10</v>
      </c>
      <c r="N206" s="11" t="str">
        <f t="shared" si="7"/>
        <v>Yes</v>
      </c>
      <c r="O206" s="11">
        <v>20</v>
      </c>
    </row>
    <row r="207" spans="1:15" ht="16.5" customHeight="1" x14ac:dyDescent="0.25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 t="str">
        <f t="shared" si="6"/>
        <v>No</v>
      </c>
      <c r="M207" s="11">
        <v>0</v>
      </c>
      <c r="N207" s="11" t="str">
        <f t="shared" si="7"/>
        <v>No</v>
      </c>
      <c r="O207" s="11">
        <v>5</v>
      </c>
    </row>
    <row r="208" spans="1:15" ht="16.5" customHeight="1" x14ac:dyDescent="0.25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 t="str">
        <f t="shared" si="6"/>
        <v>Yes</v>
      </c>
      <c r="M208" s="11">
        <v>7</v>
      </c>
      <c r="N208" s="11" t="str">
        <f t="shared" si="7"/>
        <v>Yes</v>
      </c>
      <c r="O208" s="11">
        <v>58</v>
      </c>
    </row>
    <row r="209" spans="1:15" ht="16.5" customHeight="1" x14ac:dyDescent="0.25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 t="str">
        <f t="shared" si="6"/>
        <v>No</v>
      </c>
      <c r="M209" s="11">
        <v>10</v>
      </c>
      <c r="N209" s="11" t="str">
        <f t="shared" si="7"/>
        <v>Yes</v>
      </c>
      <c r="O209" s="11">
        <v>20</v>
      </c>
    </row>
    <row r="210" spans="1:15" ht="16.5" customHeight="1" x14ac:dyDescent="0.25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 t="str">
        <f t="shared" si="6"/>
        <v>No</v>
      </c>
      <c r="M210" s="11">
        <v>1</v>
      </c>
      <c r="N210" s="11" t="str">
        <f t="shared" si="7"/>
        <v>Yes</v>
      </c>
      <c r="O210" s="11">
        <v>4</v>
      </c>
    </row>
    <row r="211" spans="1:15" ht="16.5" customHeight="1" x14ac:dyDescent="0.25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 t="str">
        <f t="shared" si="6"/>
        <v>Yes</v>
      </c>
      <c r="M211" s="11">
        <v>15</v>
      </c>
      <c r="N211" s="11" t="str">
        <f t="shared" si="7"/>
        <v>Yes</v>
      </c>
      <c r="O211" s="11">
        <v>50</v>
      </c>
    </row>
    <row r="212" spans="1:15" ht="16.5" customHeight="1" x14ac:dyDescent="0.25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 t="str">
        <f t="shared" si="6"/>
        <v>No</v>
      </c>
      <c r="M212" s="11">
        <v>5</v>
      </c>
      <c r="N212" s="11" t="str">
        <f t="shared" si="7"/>
        <v>Yes</v>
      </c>
      <c r="O212" s="11">
        <v>25</v>
      </c>
    </row>
    <row r="213" spans="1:15" ht="16.5" customHeight="1" x14ac:dyDescent="0.25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 t="str">
        <f t="shared" si="6"/>
        <v>No</v>
      </c>
      <c r="M213" s="11">
        <v>0</v>
      </c>
      <c r="N213" s="11" t="str">
        <f t="shared" si="7"/>
        <v>No</v>
      </c>
      <c r="O213" s="11">
        <v>5</v>
      </c>
    </row>
    <row r="214" spans="1:15" ht="16.5" customHeight="1" x14ac:dyDescent="0.25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 t="str">
        <f t="shared" si="6"/>
        <v>Yes</v>
      </c>
      <c r="M214" s="11">
        <v>20</v>
      </c>
      <c r="N214" s="11" t="str">
        <f t="shared" si="7"/>
        <v>Yes</v>
      </c>
      <c r="O214" s="11">
        <v>45</v>
      </c>
    </row>
    <row r="215" spans="1:15" ht="16.5" customHeight="1" x14ac:dyDescent="0.25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 t="str">
        <f t="shared" si="6"/>
        <v>No</v>
      </c>
      <c r="M215" s="11">
        <v>12</v>
      </c>
      <c r="N215" s="11" t="str">
        <f t="shared" si="7"/>
        <v>Yes</v>
      </c>
      <c r="O215" s="11">
        <v>18</v>
      </c>
    </row>
    <row r="216" spans="1:15" ht="16.5" customHeight="1" x14ac:dyDescent="0.25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 t="str">
        <f t="shared" si="6"/>
        <v>No</v>
      </c>
      <c r="M216" s="11">
        <v>2</v>
      </c>
      <c r="N216" s="11" t="str">
        <f t="shared" si="7"/>
        <v>Yes</v>
      </c>
      <c r="O216" s="11">
        <v>3</v>
      </c>
    </row>
    <row r="217" spans="1:15" ht="16.5" customHeight="1" x14ac:dyDescent="0.25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 t="str">
        <f t="shared" si="6"/>
        <v>Yes</v>
      </c>
      <c r="M217" s="11">
        <v>5</v>
      </c>
      <c r="N217" s="11" t="str">
        <f t="shared" si="7"/>
        <v>Yes</v>
      </c>
      <c r="O217" s="11">
        <v>60</v>
      </c>
    </row>
    <row r="218" spans="1:15" ht="16.5" customHeight="1" x14ac:dyDescent="0.25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 t="str">
        <f t="shared" si="6"/>
        <v>No</v>
      </c>
      <c r="M218" s="11">
        <v>10</v>
      </c>
      <c r="N218" s="11" t="str">
        <f t="shared" si="7"/>
        <v>Yes</v>
      </c>
      <c r="O218" s="11">
        <v>20</v>
      </c>
    </row>
    <row r="219" spans="1:15" ht="16.5" customHeight="1" x14ac:dyDescent="0.25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 t="str">
        <f t="shared" si="6"/>
        <v>No</v>
      </c>
      <c r="M219" s="11">
        <v>0</v>
      </c>
      <c r="N219" s="11" t="str">
        <f t="shared" si="7"/>
        <v>No</v>
      </c>
      <c r="O219" s="11">
        <v>5</v>
      </c>
    </row>
    <row r="220" spans="1:15" ht="16.5" customHeight="1" x14ac:dyDescent="0.25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 t="str">
        <f t="shared" si="6"/>
        <v>Yes</v>
      </c>
      <c r="M220" s="11">
        <v>3</v>
      </c>
      <c r="N220" s="11" t="str">
        <f t="shared" si="7"/>
        <v>Yes</v>
      </c>
      <c r="O220" s="11">
        <v>62</v>
      </c>
    </row>
    <row r="221" spans="1:15" ht="16.5" customHeight="1" x14ac:dyDescent="0.25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 t="str">
        <f t="shared" si="6"/>
        <v>No</v>
      </c>
      <c r="M221" s="11">
        <v>15</v>
      </c>
      <c r="N221" s="11" t="str">
        <f t="shared" si="7"/>
        <v>Yes</v>
      </c>
      <c r="O221" s="11">
        <v>15</v>
      </c>
    </row>
    <row r="222" spans="1:15" ht="16.5" customHeight="1" x14ac:dyDescent="0.25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 t="str">
        <f t="shared" si="6"/>
        <v>No</v>
      </c>
      <c r="M222" s="11">
        <v>1</v>
      </c>
      <c r="N222" s="11" t="str">
        <f t="shared" si="7"/>
        <v>Yes</v>
      </c>
      <c r="O222" s="11">
        <v>4</v>
      </c>
    </row>
    <row r="223" spans="1:15" ht="16.5" customHeight="1" x14ac:dyDescent="0.25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 t="str">
        <f t="shared" si="6"/>
        <v>Yes</v>
      </c>
      <c r="M223" s="11">
        <v>7</v>
      </c>
      <c r="N223" s="11" t="str">
        <f t="shared" si="7"/>
        <v>Yes</v>
      </c>
      <c r="O223" s="11">
        <v>58</v>
      </c>
    </row>
    <row r="224" spans="1:15" ht="16.5" customHeight="1" x14ac:dyDescent="0.25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 t="str">
        <f t="shared" si="6"/>
        <v>No</v>
      </c>
      <c r="M224" s="11">
        <v>10</v>
      </c>
      <c r="N224" s="11" t="str">
        <f t="shared" si="7"/>
        <v>Yes</v>
      </c>
      <c r="O224" s="11">
        <v>20</v>
      </c>
    </row>
    <row r="225" spans="1:15" ht="16.5" customHeight="1" x14ac:dyDescent="0.25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 t="str">
        <f t="shared" si="6"/>
        <v>No</v>
      </c>
      <c r="M225" s="11">
        <v>0</v>
      </c>
      <c r="N225" s="11" t="str">
        <f t="shared" si="7"/>
        <v>No</v>
      </c>
      <c r="O225" s="11">
        <v>5</v>
      </c>
    </row>
    <row r="226" spans="1:15" ht="16.5" customHeight="1" x14ac:dyDescent="0.25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 t="str">
        <f t="shared" si="6"/>
        <v>Yes</v>
      </c>
      <c r="M226" s="11">
        <v>20</v>
      </c>
      <c r="N226" s="11" t="str">
        <f t="shared" si="7"/>
        <v>Yes</v>
      </c>
      <c r="O226" s="11">
        <v>45</v>
      </c>
    </row>
    <row r="227" spans="1:15" ht="16.5" customHeight="1" x14ac:dyDescent="0.25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 t="str">
        <f t="shared" si="6"/>
        <v>No</v>
      </c>
      <c r="M227" s="11">
        <v>15</v>
      </c>
      <c r="N227" s="11" t="str">
        <f t="shared" si="7"/>
        <v>Yes</v>
      </c>
      <c r="O227" s="11">
        <v>15</v>
      </c>
    </row>
    <row r="228" spans="1:15" ht="16.5" customHeight="1" x14ac:dyDescent="0.25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 t="str">
        <f t="shared" si="6"/>
        <v>No</v>
      </c>
      <c r="M228" s="11">
        <v>1</v>
      </c>
      <c r="N228" s="11" t="str">
        <f t="shared" si="7"/>
        <v>Yes</v>
      </c>
      <c r="O228" s="11">
        <v>4</v>
      </c>
    </row>
    <row r="229" spans="1:15" ht="16.5" customHeight="1" x14ac:dyDescent="0.25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 t="str">
        <f t="shared" si="6"/>
        <v>Yes</v>
      </c>
      <c r="M229" s="11">
        <v>3</v>
      </c>
      <c r="N229" s="11" t="str">
        <f t="shared" si="7"/>
        <v>Yes</v>
      </c>
      <c r="O229" s="11">
        <v>62</v>
      </c>
    </row>
    <row r="230" spans="1:15" ht="16.5" customHeight="1" x14ac:dyDescent="0.25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 t="str">
        <f t="shared" si="6"/>
        <v>No</v>
      </c>
      <c r="M230" s="11">
        <v>10</v>
      </c>
      <c r="N230" s="11" t="str">
        <f t="shared" si="7"/>
        <v>Yes</v>
      </c>
      <c r="O230" s="11">
        <v>20</v>
      </c>
    </row>
    <row r="231" spans="1:15" ht="16.5" customHeight="1" x14ac:dyDescent="0.25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 t="str">
        <f t="shared" si="6"/>
        <v>No</v>
      </c>
      <c r="M231" s="11">
        <v>0</v>
      </c>
      <c r="N231" s="11" t="str">
        <f t="shared" si="7"/>
        <v>No</v>
      </c>
      <c r="O231" s="11">
        <v>5</v>
      </c>
    </row>
    <row r="232" spans="1:15" ht="16.5" customHeight="1" x14ac:dyDescent="0.25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 t="str">
        <f t="shared" si="6"/>
        <v>Yes</v>
      </c>
      <c r="M232" s="11">
        <v>15</v>
      </c>
      <c r="N232" s="11" t="str">
        <f t="shared" si="7"/>
        <v>Yes</v>
      </c>
      <c r="O232" s="11">
        <v>50</v>
      </c>
    </row>
    <row r="233" spans="1:15" ht="16.5" customHeight="1" x14ac:dyDescent="0.25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 t="str">
        <f t="shared" si="6"/>
        <v>No</v>
      </c>
      <c r="M233" s="11">
        <v>15</v>
      </c>
      <c r="N233" s="11" t="str">
        <f t="shared" si="7"/>
        <v>Yes</v>
      </c>
      <c r="O233" s="11">
        <v>15</v>
      </c>
    </row>
    <row r="234" spans="1:15" ht="16.5" customHeight="1" x14ac:dyDescent="0.25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 t="str">
        <f t="shared" si="6"/>
        <v>No</v>
      </c>
      <c r="M234" s="11">
        <v>1</v>
      </c>
      <c r="N234" s="11" t="str">
        <f t="shared" si="7"/>
        <v>Yes</v>
      </c>
      <c r="O234" s="11">
        <v>4</v>
      </c>
    </row>
    <row r="235" spans="1:15" ht="16.5" customHeight="1" x14ac:dyDescent="0.25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 t="str">
        <f t="shared" si="6"/>
        <v>Yes</v>
      </c>
      <c r="M235" s="11">
        <v>7</v>
      </c>
      <c r="N235" s="11" t="str">
        <f t="shared" si="7"/>
        <v>Yes</v>
      </c>
      <c r="O235" s="11">
        <v>58</v>
      </c>
    </row>
    <row r="236" spans="1:15" ht="16.5" customHeight="1" x14ac:dyDescent="0.25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 t="str">
        <f t="shared" si="6"/>
        <v>No</v>
      </c>
      <c r="M236" s="11">
        <v>10</v>
      </c>
      <c r="N236" s="11" t="str">
        <f t="shared" si="7"/>
        <v>Yes</v>
      </c>
      <c r="O236" s="11">
        <v>20</v>
      </c>
    </row>
    <row r="237" spans="1:15" ht="16.5" customHeight="1" x14ac:dyDescent="0.25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 t="str">
        <f t="shared" si="6"/>
        <v>No</v>
      </c>
      <c r="M237" s="11">
        <v>0</v>
      </c>
      <c r="N237" s="11" t="str">
        <f t="shared" si="7"/>
        <v>No</v>
      </c>
      <c r="O237" s="11">
        <v>5</v>
      </c>
    </row>
    <row r="238" spans="1:15" ht="16.5" customHeight="1" x14ac:dyDescent="0.25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 t="str">
        <f t="shared" si="6"/>
        <v>Yes</v>
      </c>
      <c r="M238" s="11">
        <v>15</v>
      </c>
      <c r="N238" s="11" t="str">
        <f t="shared" si="7"/>
        <v>Yes</v>
      </c>
      <c r="O238" s="11">
        <v>50</v>
      </c>
    </row>
    <row r="239" spans="1:15" ht="16.5" customHeight="1" x14ac:dyDescent="0.25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 t="str">
        <f t="shared" si="6"/>
        <v>No</v>
      </c>
      <c r="M239" s="11">
        <v>12</v>
      </c>
      <c r="N239" s="11" t="str">
        <f t="shared" si="7"/>
        <v>Yes</v>
      </c>
      <c r="O239" s="11">
        <v>18</v>
      </c>
    </row>
    <row r="240" spans="1:15" ht="16.5" customHeight="1" x14ac:dyDescent="0.25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 t="str">
        <f t="shared" si="6"/>
        <v>No</v>
      </c>
      <c r="M240" s="11">
        <v>2</v>
      </c>
      <c r="N240" s="11" t="str">
        <f t="shared" si="7"/>
        <v>Yes</v>
      </c>
      <c r="O240" s="11">
        <v>3</v>
      </c>
    </row>
    <row r="241" spans="1:15" ht="16.5" customHeight="1" x14ac:dyDescent="0.25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 t="str">
        <f t="shared" si="6"/>
        <v>Yes</v>
      </c>
      <c r="M241" s="11">
        <v>5</v>
      </c>
      <c r="N241" s="11" t="str">
        <f t="shared" si="7"/>
        <v>Yes</v>
      </c>
      <c r="O241" s="11">
        <v>60</v>
      </c>
    </row>
    <row r="242" spans="1:15" ht="16.5" customHeight="1" x14ac:dyDescent="0.25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 t="str">
        <f t="shared" si="6"/>
        <v>No</v>
      </c>
      <c r="M242" s="11">
        <v>10</v>
      </c>
      <c r="N242" s="11" t="str">
        <f t="shared" si="7"/>
        <v>Yes</v>
      </c>
      <c r="O242" s="11">
        <v>20</v>
      </c>
    </row>
    <row r="243" spans="1:15" ht="16.5" customHeight="1" x14ac:dyDescent="0.25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 t="str">
        <f t="shared" si="6"/>
        <v>No</v>
      </c>
      <c r="M243" s="11">
        <v>0</v>
      </c>
      <c r="N243" s="11" t="str">
        <f t="shared" si="7"/>
        <v>No</v>
      </c>
      <c r="O243" s="11">
        <v>5</v>
      </c>
    </row>
    <row r="244" spans="1:15" ht="16.5" customHeight="1" x14ac:dyDescent="0.25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 t="str">
        <f t="shared" si="6"/>
        <v>Yes</v>
      </c>
      <c r="M244" s="11">
        <v>3</v>
      </c>
      <c r="N244" s="11" t="str">
        <f t="shared" si="7"/>
        <v>Yes</v>
      </c>
      <c r="O244" s="11">
        <v>62</v>
      </c>
    </row>
    <row r="245" spans="1:15" ht="16.5" customHeight="1" x14ac:dyDescent="0.25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 t="str">
        <f t="shared" si="6"/>
        <v>No</v>
      </c>
      <c r="M245" s="11">
        <v>15</v>
      </c>
      <c r="N245" s="11" t="str">
        <f t="shared" si="7"/>
        <v>Yes</v>
      </c>
      <c r="O245" s="11">
        <v>15</v>
      </c>
    </row>
    <row r="246" spans="1:15" ht="16.5" customHeight="1" x14ac:dyDescent="0.25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 t="str">
        <f t="shared" si="6"/>
        <v>No</v>
      </c>
      <c r="M246" s="11">
        <v>1</v>
      </c>
      <c r="N246" s="11" t="str">
        <f t="shared" si="7"/>
        <v>Yes</v>
      </c>
      <c r="O246" s="11">
        <v>4</v>
      </c>
    </row>
    <row r="247" spans="1:15" ht="16.5" customHeight="1" x14ac:dyDescent="0.25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 t="str">
        <f t="shared" si="6"/>
        <v>Yes</v>
      </c>
      <c r="M247" s="11">
        <v>7</v>
      </c>
      <c r="N247" s="11" t="str">
        <f t="shared" si="7"/>
        <v>Yes</v>
      </c>
      <c r="O247" s="11">
        <v>58</v>
      </c>
    </row>
    <row r="248" spans="1:15" ht="16.5" customHeight="1" x14ac:dyDescent="0.25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 t="str">
        <f t="shared" si="6"/>
        <v>No</v>
      </c>
      <c r="M248" s="11">
        <v>10</v>
      </c>
      <c r="N248" s="11" t="str">
        <f t="shared" si="7"/>
        <v>Yes</v>
      </c>
      <c r="O248" s="11">
        <v>20</v>
      </c>
    </row>
    <row r="249" spans="1:15" ht="16.5" customHeight="1" x14ac:dyDescent="0.25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 t="str">
        <f t="shared" si="6"/>
        <v>No</v>
      </c>
      <c r="M249" s="11">
        <v>0</v>
      </c>
      <c r="N249" s="11" t="str">
        <f t="shared" si="7"/>
        <v>No</v>
      </c>
      <c r="O249" s="11">
        <v>5</v>
      </c>
    </row>
    <row r="250" spans="1:15" ht="16.5" customHeight="1" x14ac:dyDescent="0.25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 t="str">
        <f t="shared" si="6"/>
        <v>Yes</v>
      </c>
      <c r="M250" s="11">
        <v>20</v>
      </c>
      <c r="N250" s="11" t="str">
        <f t="shared" si="7"/>
        <v>Yes</v>
      </c>
      <c r="O250" s="11">
        <v>45</v>
      </c>
    </row>
    <row r="251" spans="1:15" ht="16.5" customHeight="1" x14ac:dyDescent="0.25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 t="str">
        <f t="shared" si="6"/>
        <v>No</v>
      </c>
      <c r="M251" s="11">
        <v>15</v>
      </c>
      <c r="N251" s="11" t="str">
        <f t="shared" si="7"/>
        <v>Yes</v>
      </c>
      <c r="O251" s="11">
        <v>15</v>
      </c>
    </row>
    <row r="252" spans="1:15" ht="16.5" customHeight="1" x14ac:dyDescent="0.25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 t="str">
        <f t="shared" si="6"/>
        <v>No</v>
      </c>
      <c r="M252" s="11">
        <v>1</v>
      </c>
      <c r="N252" s="11" t="str">
        <f t="shared" si="7"/>
        <v>Yes</v>
      </c>
      <c r="O252" s="11">
        <v>4</v>
      </c>
    </row>
    <row r="253" spans="1:15" ht="16.5" customHeight="1" x14ac:dyDescent="0.25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 t="str">
        <f t="shared" si="6"/>
        <v>Yes</v>
      </c>
      <c r="M253" s="11">
        <v>3</v>
      </c>
      <c r="N253" s="11" t="str">
        <f t="shared" si="7"/>
        <v>Yes</v>
      </c>
      <c r="O253" s="11">
        <v>62</v>
      </c>
    </row>
    <row r="254" spans="1:15" ht="16.5" customHeight="1" x14ac:dyDescent="0.25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 t="str">
        <f t="shared" si="6"/>
        <v>No</v>
      </c>
      <c r="M254" s="11">
        <v>10</v>
      </c>
      <c r="N254" s="11" t="str">
        <f t="shared" si="7"/>
        <v>Yes</v>
      </c>
      <c r="O254" s="11">
        <v>20</v>
      </c>
    </row>
    <row r="255" spans="1:15" ht="16.5" customHeight="1" x14ac:dyDescent="0.25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 t="str">
        <f t="shared" si="6"/>
        <v>No</v>
      </c>
      <c r="M255" s="11">
        <v>0</v>
      </c>
      <c r="N255" s="11" t="str">
        <f t="shared" si="7"/>
        <v>No</v>
      </c>
      <c r="O255" s="11">
        <v>5</v>
      </c>
    </row>
    <row r="256" spans="1:15" ht="16.5" customHeight="1" x14ac:dyDescent="0.25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 t="str">
        <f t="shared" si="6"/>
        <v>Yes</v>
      </c>
      <c r="M256" s="11">
        <v>15</v>
      </c>
      <c r="N256" s="11" t="str">
        <f t="shared" si="7"/>
        <v>Yes</v>
      </c>
      <c r="O256" s="11">
        <v>50</v>
      </c>
    </row>
    <row r="257" spans="1:15" ht="16.5" customHeight="1" x14ac:dyDescent="0.25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 t="str">
        <f t="shared" si="6"/>
        <v>No</v>
      </c>
      <c r="M257" s="11">
        <v>0</v>
      </c>
      <c r="N257" s="11" t="str">
        <f t="shared" si="7"/>
        <v>No</v>
      </c>
      <c r="O257" s="11">
        <v>5</v>
      </c>
    </row>
    <row r="258" spans="1:15" ht="16.5" customHeight="1" x14ac:dyDescent="0.25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 t="str">
        <f t="shared" ref="L258:L296" si="8">IF(OR(F258="Yes", H258="Yes"), "Yes", "No")</f>
        <v>Yes</v>
      </c>
      <c r="M258" s="11">
        <v>7</v>
      </c>
      <c r="N258" s="11" t="str">
        <f t="shared" ref="N258:N296" si="9">IF(OR(M258="",M258=0),"No","Yes")</f>
        <v>Yes</v>
      </c>
      <c r="O258" s="11">
        <v>58</v>
      </c>
    </row>
    <row r="259" spans="1:15" ht="16.5" customHeight="1" x14ac:dyDescent="0.25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 t="str">
        <f t="shared" si="8"/>
        <v>No</v>
      </c>
      <c r="M259" s="11">
        <v>10</v>
      </c>
      <c r="N259" s="11" t="str">
        <f t="shared" si="9"/>
        <v>Yes</v>
      </c>
      <c r="O259" s="11">
        <v>20</v>
      </c>
    </row>
    <row r="260" spans="1:15" ht="16.5" customHeight="1" x14ac:dyDescent="0.25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 t="str">
        <f t="shared" si="8"/>
        <v>No</v>
      </c>
      <c r="M260" s="11">
        <v>1</v>
      </c>
      <c r="N260" s="11" t="str">
        <f t="shared" si="9"/>
        <v>Yes</v>
      </c>
      <c r="O260" s="11">
        <v>4</v>
      </c>
    </row>
    <row r="261" spans="1:15" ht="16.5" customHeight="1" x14ac:dyDescent="0.25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 t="str">
        <f t="shared" si="8"/>
        <v>Yes</v>
      </c>
      <c r="M261" s="11">
        <v>15</v>
      </c>
      <c r="N261" s="11" t="str">
        <f t="shared" si="9"/>
        <v>Yes</v>
      </c>
      <c r="O261" s="11">
        <v>50</v>
      </c>
    </row>
    <row r="262" spans="1:15" ht="16.5" customHeight="1" x14ac:dyDescent="0.25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 t="str">
        <f t="shared" si="8"/>
        <v>No</v>
      </c>
      <c r="M262" s="11">
        <v>5</v>
      </c>
      <c r="N262" s="11" t="str">
        <f t="shared" si="9"/>
        <v>Yes</v>
      </c>
      <c r="O262" s="11">
        <v>25</v>
      </c>
    </row>
    <row r="263" spans="1:15" ht="16.5" customHeight="1" x14ac:dyDescent="0.25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 t="str">
        <f t="shared" si="8"/>
        <v>No</v>
      </c>
      <c r="M263" s="11">
        <v>0</v>
      </c>
      <c r="N263" s="11" t="str">
        <f t="shared" si="9"/>
        <v>No</v>
      </c>
      <c r="O263" s="11">
        <v>5</v>
      </c>
    </row>
    <row r="264" spans="1:15" ht="16.5" customHeight="1" x14ac:dyDescent="0.25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 t="str">
        <f t="shared" si="8"/>
        <v>Yes</v>
      </c>
      <c r="M264" s="11">
        <v>20</v>
      </c>
      <c r="N264" s="11" t="str">
        <f t="shared" si="9"/>
        <v>Yes</v>
      </c>
      <c r="O264" s="11">
        <v>45</v>
      </c>
    </row>
    <row r="265" spans="1:15" ht="16.5" customHeight="1" x14ac:dyDescent="0.25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 t="str">
        <f t="shared" si="8"/>
        <v>No</v>
      </c>
      <c r="M265" s="11">
        <v>12</v>
      </c>
      <c r="N265" s="11" t="str">
        <f t="shared" si="9"/>
        <v>Yes</v>
      </c>
      <c r="O265" s="11">
        <v>18</v>
      </c>
    </row>
    <row r="266" spans="1:15" ht="16.5" customHeight="1" x14ac:dyDescent="0.25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 t="str">
        <f t="shared" si="8"/>
        <v>No</v>
      </c>
      <c r="M266" s="11">
        <v>2</v>
      </c>
      <c r="N266" s="11" t="str">
        <f t="shared" si="9"/>
        <v>Yes</v>
      </c>
      <c r="O266" s="11">
        <v>3</v>
      </c>
    </row>
    <row r="267" spans="1:15" ht="16.5" customHeight="1" x14ac:dyDescent="0.25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 t="str">
        <f t="shared" si="8"/>
        <v>Yes</v>
      </c>
      <c r="M267" s="11">
        <v>5</v>
      </c>
      <c r="N267" s="11" t="str">
        <f t="shared" si="9"/>
        <v>Yes</v>
      </c>
      <c r="O267" s="11">
        <v>60</v>
      </c>
    </row>
    <row r="268" spans="1:15" ht="16.5" customHeight="1" x14ac:dyDescent="0.25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 t="str">
        <f t="shared" si="8"/>
        <v>No</v>
      </c>
      <c r="M268" s="11">
        <v>10</v>
      </c>
      <c r="N268" s="11" t="str">
        <f t="shared" si="9"/>
        <v>Yes</v>
      </c>
      <c r="O268" s="11">
        <v>20</v>
      </c>
    </row>
    <row r="269" spans="1:15" ht="16.5" customHeight="1" x14ac:dyDescent="0.25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 t="str">
        <f t="shared" si="8"/>
        <v>No</v>
      </c>
      <c r="M269" s="11">
        <v>0</v>
      </c>
      <c r="N269" s="11" t="str">
        <f t="shared" si="9"/>
        <v>No</v>
      </c>
      <c r="O269" s="11">
        <v>5</v>
      </c>
    </row>
    <row r="270" spans="1:15" ht="16.5" customHeight="1" x14ac:dyDescent="0.25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 t="str">
        <f t="shared" si="8"/>
        <v>Yes</v>
      </c>
      <c r="M270" s="11">
        <v>3</v>
      </c>
      <c r="N270" s="11" t="str">
        <f t="shared" si="9"/>
        <v>Yes</v>
      </c>
      <c r="O270" s="11">
        <v>62</v>
      </c>
    </row>
    <row r="271" spans="1:15" ht="16.5" customHeight="1" x14ac:dyDescent="0.25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 t="str">
        <f t="shared" si="8"/>
        <v>No</v>
      </c>
      <c r="M271" s="11">
        <v>15</v>
      </c>
      <c r="N271" s="11" t="str">
        <f t="shared" si="9"/>
        <v>Yes</v>
      </c>
      <c r="O271" s="11">
        <v>15</v>
      </c>
    </row>
    <row r="272" spans="1:15" ht="16.5" customHeight="1" x14ac:dyDescent="0.25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 t="str">
        <f t="shared" si="8"/>
        <v>No</v>
      </c>
      <c r="M272" s="11">
        <v>1</v>
      </c>
      <c r="N272" s="11" t="str">
        <f t="shared" si="9"/>
        <v>Yes</v>
      </c>
      <c r="O272" s="11">
        <v>4</v>
      </c>
    </row>
    <row r="273" spans="1:15" ht="16.5" customHeight="1" x14ac:dyDescent="0.25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 t="str">
        <f t="shared" si="8"/>
        <v>Yes</v>
      </c>
      <c r="M273" s="11">
        <v>7</v>
      </c>
      <c r="N273" s="11" t="str">
        <f t="shared" si="9"/>
        <v>Yes</v>
      </c>
      <c r="O273" s="11">
        <v>58</v>
      </c>
    </row>
    <row r="274" spans="1:15" ht="16.5" customHeight="1" x14ac:dyDescent="0.25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 t="str">
        <f t="shared" si="8"/>
        <v>No</v>
      </c>
      <c r="M274" s="11">
        <v>10</v>
      </c>
      <c r="N274" s="11" t="str">
        <f t="shared" si="9"/>
        <v>Yes</v>
      </c>
      <c r="O274" s="11">
        <v>20</v>
      </c>
    </row>
    <row r="275" spans="1:15" ht="16.5" customHeight="1" x14ac:dyDescent="0.25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 t="str">
        <f t="shared" si="8"/>
        <v>No</v>
      </c>
      <c r="M275" s="11">
        <v>0</v>
      </c>
      <c r="N275" s="11" t="str">
        <f t="shared" si="9"/>
        <v>No</v>
      </c>
      <c r="O275" s="11">
        <v>5</v>
      </c>
    </row>
    <row r="276" spans="1:15" ht="16.5" customHeight="1" x14ac:dyDescent="0.25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 t="str">
        <f t="shared" si="8"/>
        <v>Yes</v>
      </c>
      <c r="M276" s="11">
        <v>20</v>
      </c>
      <c r="N276" s="11" t="str">
        <f t="shared" si="9"/>
        <v>Yes</v>
      </c>
      <c r="O276" s="11">
        <v>45</v>
      </c>
    </row>
    <row r="277" spans="1:15" ht="16.5" customHeight="1" x14ac:dyDescent="0.25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 t="str">
        <f t="shared" si="8"/>
        <v>No</v>
      </c>
      <c r="M277" s="11">
        <v>15</v>
      </c>
      <c r="N277" s="11" t="str">
        <f t="shared" si="9"/>
        <v>Yes</v>
      </c>
      <c r="O277" s="11">
        <v>15</v>
      </c>
    </row>
    <row r="278" spans="1:15" ht="16.5" customHeight="1" x14ac:dyDescent="0.25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 t="str">
        <f t="shared" si="8"/>
        <v>No</v>
      </c>
      <c r="M278" s="11">
        <v>1</v>
      </c>
      <c r="N278" s="11" t="str">
        <f t="shared" si="9"/>
        <v>Yes</v>
      </c>
      <c r="O278" s="11">
        <v>4</v>
      </c>
    </row>
    <row r="279" spans="1:15" ht="16.5" customHeight="1" x14ac:dyDescent="0.25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 t="str">
        <f t="shared" si="8"/>
        <v>Yes</v>
      </c>
      <c r="M279" s="11">
        <v>3</v>
      </c>
      <c r="N279" s="11" t="str">
        <f t="shared" si="9"/>
        <v>Yes</v>
      </c>
      <c r="O279" s="11">
        <v>62</v>
      </c>
    </row>
    <row r="280" spans="1:15" ht="16.5" customHeight="1" x14ac:dyDescent="0.25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 t="str">
        <f t="shared" si="8"/>
        <v>No</v>
      </c>
      <c r="M280" s="11">
        <v>10</v>
      </c>
      <c r="N280" s="11" t="str">
        <f t="shared" si="9"/>
        <v>Yes</v>
      </c>
      <c r="O280" s="11">
        <v>20</v>
      </c>
    </row>
    <row r="281" spans="1:15" ht="16.5" customHeight="1" x14ac:dyDescent="0.25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 t="str">
        <f t="shared" si="8"/>
        <v>No</v>
      </c>
      <c r="M281" s="11">
        <v>0</v>
      </c>
      <c r="N281" s="11" t="str">
        <f t="shared" si="9"/>
        <v>No</v>
      </c>
      <c r="O281" s="11">
        <v>5</v>
      </c>
    </row>
    <row r="282" spans="1:15" ht="16.5" customHeight="1" x14ac:dyDescent="0.25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 t="str">
        <f t="shared" si="8"/>
        <v>Yes</v>
      </c>
      <c r="M282" s="11">
        <v>15</v>
      </c>
      <c r="N282" s="11" t="str">
        <f t="shared" si="9"/>
        <v>Yes</v>
      </c>
      <c r="O282" s="11">
        <v>50</v>
      </c>
    </row>
    <row r="283" spans="1:15" ht="16.5" customHeight="1" x14ac:dyDescent="0.25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 t="str">
        <f t="shared" si="8"/>
        <v>No</v>
      </c>
      <c r="M283" s="11">
        <v>15</v>
      </c>
      <c r="N283" s="11" t="str">
        <f t="shared" si="9"/>
        <v>Yes</v>
      </c>
      <c r="O283" s="11">
        <v>15</v>
      </c>
    </row>
    <row r="284" spans="1:15" ht="16.5" customHeight="1" x14ac:dyDescent="0.25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 t="str">
        <f t="shared" si="8"/>
        <v>No</v>
      </c>
      <c r="M284" s="11">
        <v>1</v>
      </c>
      <c r="N284" s="11" t="str">
        <f t="shared" si="9"/>
        <v>Yes</v>
      </c>
      <c r="O284" s="11">
        <v>4</v>
      </c>
    </row>
    <row r="285" spans="1:15" ht="16.5" customHeight="1" x14ac:dyDescent="0.25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 t="str">
        <f t="shared" si="8"/>
        <v>Yes</v>
      </c>
      <c r="M285" s="11">
        <v>7</v>
      </c>
      <c r="N285" s="11" t="str">
        <f t="shared" si="9"/>
        <v>Yes</v>
      </c>
      <c r="O285" s="11">
        <v>58</v>
      </c>
    </row>
    <row r="286" spans="1:15" ht="16.5" customHeight="1" x14ac:dyDescent="0.25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 t="str">
        <f t="shared" si="8"/>
        <v>No</v>
      </c>
      <c r="M286" s="11">
        <v>10</v>
      </c>
      <c r="N286" s="11" t="str">
        <f t="shared" si="9"/>
        <v>Yes</v>
      </c>
      <c r="O286" s="11">
        <v>20</v>
      </c>
    </row>
    <row r="287" spans="1:15" ht="16.5" customHeight="1" x14ac:dyDescent="0.25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 t="str">
        <f t="shared" si="8"/>
        <v>No</v>
      </c>
      <c r="M287" s="11">
        <v>0</v>
      </c>
      <c r="N287" s="11" t="str">
        <f t="shared" si="9"/>
        <v>No</v>
      </c>
      <c r="O287" s="11">
        <v>5</v>
      </c>
    </row>
    <row r="288" spans="1:15" ht="16.5" customHeight="1" x14ac:dyDescent="0.25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 t="str">
        <f t="shared" si="8"/>
        <v>Yes</v>
      </c>
      <c r="M288" s="11">
        <v>20</v>
      </c>
      <c r="N288" s="11" t="str">
        <f t="shared" si="9"/>
        <v>Yes</v>
      </c>
      <c r="O288" s="11">
        <v>45</v>
      </c>
    </row>
    <row r="289" spans="1:15" ht="16.5" customHeight="1" x14ac:dyDescent="0.25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 t="str">
        <f t="shared" si="8"/>
        <v>No</v>
      </c>
      <c r="M289" s="11">
        <v>12</v>
      </c>
      <c r="N289" s="11" t="str">
        <f t="shared" si="9"/>
        <v>Yes</v>
      </c>
      <c r="O289" s="11">
        <v>18</v>
      </c>
    </row>
    <row r="290" spans="1:15" ht="16.5" customHeight="1" x14ac:dyDescent="0.25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 t="str">
        <f t="shared" si="8"/>
        <v>No</v>
      </c>
      <c r="M290" s="11">
        <v>2</v>
      </c>
      <c r="N290" s="11" t="str">
        <f t="shared" si="9"/>
        <v>Yes</v>
      </c>
      <c r="O290" s="11">
        <v>3</v>
      </c>
    </row>
    <row r="291" spans="1:15" ht="16.5" customHeight="1" x14ac:dyDescent="0.25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 t="str">
        <f t="shared" si="8"/>
        <v>Yes</v>
      </c>
      <c r="M291" s="11">
        <v>5</v>
      </c>
      <c r="N291" s="11" t="str">
        <f t="shared" si="9"/>
        <v>Yes</v>
      </c>
      <c r="O291" s="11">
        <v>60</v>
      </c>
    </row>
    <row r="292" spans="1:15" ht="16.5" customHeight="1" x14ac:dyDescent="0.25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 t="str">
        <f t="shared" si="8"/>
        <v>No</v>
      </c>
      <c r="M292" s="11">
        <v>10</v>
      </c>
      <c r="N292" s="11" t="str">
        <f t="shared" si="9"/>
        <v>Yes</v>
      </c>
      <c r="O292" s="11">
        <v>20</v>
      </c>
    </row>
    <row r="293" spans="1:15" ht="16.5" customHeight="1" x14ac:dyDescent="0.25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 t="str">
        <f t="shared" si="8"/>
        <v>No</v>
      </c>
      <c r="M293" s="11">
        <v>0</v>
      </c>
      <c r="N293" s="11" t="str">
        <f t="shared" si="9"/>
        <v>No</v>
      </c>
      <c r="O293" s="11">
        <v>5</v>
      </c>
    </row>
    <row r="294" spans="1:15" ht="16.5" customHeight="1" x14ac:dyDescent="0.25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 t="str">
        <f t="shared" si="8"/>
        <v>Yes</v>
      </c>
      <c r="M294" s="11">
        <v>3</v>
      </c>
      <c r="N294" s="11" t="str">
        <f t="shared" si="9"/>
        <v>Yes</v>
      </c>
      <c r="O294" s="11">
        <v>62</v>
      </c>
    </row>
    <row r="295" spans="1:15" ht="16.5" customHeight="1" x14ac:dyDescent="0.25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 t="str">
        <f t="shared" si="8"/>
        <v>No</v>
      </c>
      <c r="M295" s="11">
        <v>15</v>
      </c>
      <c r="N295" s="11" t="str">
        <f t="shared" si="9"/>
        <v>Yes</v>
      </c>
      <c r="O295" s="11">
        <v>15</v>
      </c>
    </row>
    <row r="296" spans="1:15" ht="16.5" customHeight="1" x14ac:dyDescent="0.25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 t="str">
        <f t="shared" si="8"/>
        <v>No</v>
      </c>
      <c r="M296" s="11">
        <v>1</v>
      </c>
      <c r="N296" s="11" t="str">
        <f t="shared" si="9"/>
        <v>Yes</v>
      </c>
      <c r="O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48"/>
  <sheetViews>
    <sheetView showGridLines="0" topLeftCell="A25" workbookViewId="0">
      <selection activeCell="B45" sqref="B45"/>
    </sheetView>
  </sheetViews>
  <sheetFormatPr defaultRowHeight="15" x14ac:dyDescent="0.25"/>
  <cols>
    <col min="2" max="2" width="18.42578125" bestFit="1" customWidth="1"/>
    <col min="3" max="3" width="19.7109375" bestFit="1" customWidth="1"/>
    <col min="4" max="4" width="19.285156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3" x14ac:dyDescent="0.25">
      <c r="B3" s="12" t="s">
        <v>17</v>
      </c>
      <c r="C3" t="s">
        <v>31</v>
      </c>
    </row>
    <row r="5" spans="2:3" x14ac:dyDescent="0.25">
      <c r="B5" s="12" t="s">
        <v>313</v>
      </c>
      <c r="C5" t="s">
        <v>315</v>
      </c>
    </row>
    <row r="6" spans="2:3" x14ac:dyDescent="0.25">
      <c r="B6" s="13" t="s">
        <v>25</v>
      </c>
      <c r="C6" s="14">
        <v>1186</v>
      </c>
    </row>
    <row r="7" spans="2:3" x14ac:dyDescent="0.25">
      <c r="B7" s="13" t="s">
        <v>34</v>
      </c>
      <c r="C7" s="14">
        <v>448</v>
      </c>
    </row>
    <row r="8" spans="2:3" x14ac:dyDescent="0.25">
      <c r="B8" s="13" t="s">
        <v>29</v>
      </c>
      <c r="C8" s="14">
        <v>120</v>
      </c>
    </row>
    <row r="9" spans="2:3" x14ac:dyDescent="0.25">
      <c r="B9" s="13" t="s">
        <v>314</v>
      </c>
      <c r="C9" s="14">
        <v>1754</v>
      </c>
    </row>
    <row r="10" spans="2:3" x14ac:dyDescent="0.25">
      <c r="B10" s="13"/>
      <c r="C10" s="14"/>
    </row>
    <row r="11" spans="2:3" x14ac:dyDescent="0.25">
      <c r="B11" s="13"/>
      <c r="C11" s="14"/>
    </row>
    <row r="12" spans="2:3" x14ac:dyDescent="0.25">
      <c r="B12" t="s">
        <v>318</v>
      </c>
    </row>
    <row r="14" spans="2:3" x14ac:dyDescent="0.25">
      <c r="B14" s="12" t="s">
        <v>17</v>
      </c>
      <c r="C14" t="s">
        <v>31</v>
      </c>
    </row>
    <row r="16" spans="2:3" x14ac:dyDescent="0.25">
      <c r="B16" s="12" t="s">
        <v>313</v>
      </c>
      <c r="C16" t="s">
        <v>322</v>
      </c>
    </row>
    <row r="17" spans="2:6" x14ac:dyDescent="0.25">
      <c r="B17" s="13" t="s">
        <v>25</v>
      </c>
      <c r="C17" s="14">
        <v>59.3</v>
      </c>
    </row>
    <row r="18" spans="2:6" x14ac:dyDescent="0.25">
      <c r="B18" s="13" t="s">
        <v>34</v>
      </c>
      <c r="C18" s="14">
        <v>16.592592592592592</v>
      </c>
    </row>
    <row r="19" spans="2:6" x14ac:dyDescent="0.25">
      <c r="B19" s="13" t="s">
        <v>29</v>
      </c>
      <c r="C19" s="14">
        <v>5</v>
      </c>
    </row>
    <row r="20" spans="2:6" x14ac:dyDescent="0.25">
      <c r="B20" s="13" t="s">
        <v>314</v>
      </c>
      <c r="C20" s="14">
        <v>24.704225352112676</v>
      </c>
    </row>
    <row r="21" spans="2:6" x14ac:dyDescent="0.25">
      <c r="B21" s="18" t="s">
        <v>319</v>
      </c>
    </row>
    <row r="23" spans="2:6" x14ac:dyDescent="0.25">
      <c r="B23" s="12" t="s">
        <v>13</v>
      </c>
      <c r="C23" t="s">
        <v>321</v>
      </c>
    </row>
    <row r="25" spans="2:6" x14ac:dyDescent="0.25">
      <c r="B25" s="12" t="s">
        <v>313</v>
      </c>
      <c r="C25" t="s">
        <v>322</v>
      </c>
    </row>
    <row r="26" spans="2:6" x14ac:dyDescent="0.25">
      <c r="B26" s="13" t="s">
        <v>30</v>
      </c>
      <c r="C26" s="14">
        <v>19.727272727272727</v>
      </c>
    </row>
    <row r="27" spans="2:6" x14ac:dyDescent="0.25">
      <c r="B27" s="13" t="s">
        <v>26</v>
      </c>
      <c r="C27" s="14">
        <v>25.616666666666667</v>
      </c>
      <c r="F27" s="19"/>
    </row>
    <row r="28" spans="2:6" x14ac:dyDescent="0.25">
      <c r="B28" s="13" t="s">
        <v>314</v>
      </c>
      <c r="C28" s="14">
        <v>24.704225352112676</v>
      </c>
    </row>
    <row r="31" spans="2:6" x14ac:dyDescent="0.25">
      <c r="B31" s="18" t="s">
        <v>324</v>
      </c>
    </row>
    <row r="33" spans="2:6" x14ac:dyDescent="0.25">
      <c r="B33" s="12" t="s">
        <v>13</v>
      </c>
      <c r="C33" t="s">
        <v>321</v>
      </c>
    </row>
    <row r="35" spans="2:6" x14ac:dyDescent="0.25">
      <c r="B35" s="12" t="s">
        <v>313</v>
      </c>
      <c r="C35" t="s">
        <v>322</v>
      </c>
    </row>
    <row r="36" spans="2:6" x14ac:dyDescent="0.25">
      <c r="B36" s="13" t="s">
        <v>30</v>
      </c>
      <c r="C36" s="14">
        <v>11.137254901960784</v>
      </c>
    </row>
    <row r="37" spans="2:6" x14ac:dyDescent="0.25">
      <c r="B37" s="13" t="s">
        <v>26</v>
      </c>
      <c r="C37" s="14">
        <v>59.3</v>
      </c>
    </row>
    <row r="38" spans="2:6" x14ac:dyDescent="0.25">
      <c r="B38" s="13" t="s">
        <v>314</v>
      </c>
      <c r="C38" s="14">
        <v>24.704225352112676</v>
      </c>
    </row>
    <row r="39" spans="2:6" x14ac:dyDescent="0.25">
      <c r="F39" s="19"/>
    </row>
    <row r="41" spans="2:6" x14ac:dyDescent="0.25">
      <c r="B41" s="18" t="s">
        <v>320</v>
      </c>
    </row>
    <row r="43" spans="2:6" x14ac:dyDescent="0.25">
      <c r="B43" s="12" t="s">
        <v>13</v>
      </c>
      <c r="C43" t="s">
        <v>321</v>
      </c>
    </row>
    <row r="45" spans="2:6" x14ac:dyDescent="0.25">
      <c r="B45" s="12" t="s">
        <v>313</v>
      </c>
      <c r="C45" t="s">
        <v>322</v>
      </c>
    </row>
    <row r="46" spans="2:6" x14ac:dyDescent="0.25">
      <c r="B46" s="13" t="s">
        <v>30</v>
      </c>
      <c r="C46" s="14">
        <v>5</v>
      </c>
    </row>
    <row r="47" spans="2:6" x14ac:dyDescent="0.25">
      <c r="B47" s="13" t="s">
        <v>26</v>
      </c>
      <c r="C47" s="14">
        <v>34.765957446808514</v>
      </c>
    </row>
    <row r="48" spans="2:6" x14ac:dyDescent="0.25">
      <c r="B48" s="13" t="s">
        <v>314</v>
      </c>
      <c r="C48" s="14">
        <v>24.704225352112676</v>
      </c>
    </row>
  </sheetData>
  <pageMargins left="0.511811024" right="0.511811024" top="0.78740157499999996" bottom="0.78740157499999996" header="0.31496062000000002" footer="0.31496062000000002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F234"/>
  <sheetViews>
    <sheetView showGridLines="0" showRowColHeaders="0" tabSelected="1" zoomScale="85" zoomScaleNormal="85" workbookViewId="0">
      <selection activeCell="AC10" sqref="AC10"/>
    </sheetView>
  </sheetViews>
  <sheetFormatPr defaultRowHeight="15" x14ac:dyDescent="0.25"/>
  <cols>
    <col min="1" max="1" width="29" style="3" customWidth="1"/>
    <col min="2" max="2" width="3.28515625" style="16" customWidth="1"/>
    <col min="12" max="12" width="6.5703125" customWidth="1"/>
    <col min="16" max="16" width="13" customWidth="1"/>
  </cols>
  <sheetData>
    <row r="1" spans="1:32" x14ac:dyDescent="0.25">
      <c r="B1" s="17"/>
    </row>
    <row r="2" spans="1:32" ht="39" customHeight="1" thickBot="1" x14ac:dyDescent="0.5">
      <c r="B2" s="17"/>
      <c r="C2" s="21" t="s">
        <v>316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</row>
    <row r="3" spans="1:32" ht="15.75" customHeight="1" thickTop="1" x14ac:dyDescent="0.25">
      <c r="B3" s="17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</row>
    <row r="4" spans="1:32" s="7" customFormat="1" ht="8.25" hidden="1" customHeight="1" x14ac:dyDescent="0.25">
      <c r="A4" s="3"/>
      <c r="B4" s="16"/>
    </row>
    <row r="5" spans="1:32" s="7" customFormat="1" ht="17.25" customHeight="1" x14ac:dyDescent="0.25">
      <c r="A5" s="3"/>
      <c r="B5" s="16"/>
      <c r="C5" s="22" t="s">
        <v>317</v>
      </c>
    </row>
    <row r="6" spans="1:32" s="7" customFormat="1" ht="27.75" customHeight="1" x14ac:dyDescent="0.25">
      <c r="A6" s="23" t="s">
        <v>323</v>
      </c>
      <c r="B6" s="16"/>
    </row>
    <row r="7" spans="1:32" s="7" customFormat="1" ht="22.5" customHeight="1" x14ac:dyDescent="0.25">
      <c r="A7" s="3"/>
      <c r="B7" s="16"/>
    </row>
    <row r="8" spans="1:32" s="7" customFormat="1" ht="33" customHeight="1" x14ac:dyDescent="0.25">
      <c r="A8" s="3"/>
      <c r="B8" s="16"/>
    </row>
    <row r="9" spans="1:32" s="7" customFormat="1" x14ac:dyDescent="0.25">
      <c r="A9" s="3"/>
      <c r="B9" s="16"/>
    </row>
    <row r="10" spans="1:32" s="7" customFormat="1" x14ac:dyDescent="0.25">
      <c r="A10" s="3"/>
      <c r="B10" s="16"/>
    </row>
    <row r="11" spans="1:32" s="7" customFormat="1" x14ac:dyDescent="0.25">
      <c r="A11" s="3"/>
      <c r="B11" s="16"/>
    </row>
    <row r="12" spans="1:32" s="7" customFormat="1" x14ac:dyDescent="0.25">
      <c r="A12" s="3"/>
      <c r="B12" s="16"/>
    </row>
    <row r="13" spans="1:32" s="7" customFormat="1" x14ac:dyDescent="0.25">
      <c r="A13" s="3"/>
      <c r="B13" s="16"/>
    </row>
    <row r="14" spans="1:32" s="7" customFormat="1" x14ac:dyDescent="0.25">
      <c r="A14" s="3"/>
      <c r="B14" s="16"/>
    </row>
    <row r="15" spans="1:32" s="7" customFormat="1" x14ac:dyDescent="0.25">
      <c r="A15" s="3"/>
      <c r="B15" s="16"/>
    </row>
    <row r="16" spans="1:32" s="7" customFormat="1" x14ac:dyDescent="0.25">
      <c r="A16" s="3"/>
      <c r="B16" s="16"/>
    </row>
    <row r="17" spans="1:2" s="7" customFormat="1" x14ac:dyDescent="0.25">
      <c r="A17" s="3"/>
      <c r="B17" s="16"/>
    </row>
    <row r="18" spans="1:2" s="7" customFormat="1" x14ac:dyDescent="0.25">
      <c r="A18" s="3"/>
      <c r="B18" s="16"/>
    </row>
    <row r="19" spans="1:2" s="7" customFormat="1" x14ac:dyDescent="0.25">
      <c r="A19" s="3"/>
      <c r="B19" s="16"/>
    </row>
    <row r="20" spans="1:2" s="7" customFormat="1" x14ac:dyDescent="0.25">
      <c r="A20" s="3"/>
      <c r="B20" s="16"/>
    </row>
    <row r="21" spans="1:2" s="7" customFormat="1" x14ac:dyDescent="0.25">
      <c r="A21" s="3"/>
      <c r="B21" s="16"/>
    </row>
    <row r="22" spans="1:2" s="7" customFormat="1" x14ac:dyDescent="0.25">
      <c r="A22" s="3"/>
      <c r="B22" s="16"/>
    </row>
    <row r="23" spans="1:2" s="7" customFormat="1" x14ac:dyDescent="0.25">
      <c r="A23" s="3"/>
      <c r="B23" s="16"/>
    </row>
    <row r="24" spans="1:2" s="7" customFormat="1" x14ac:dyDescent="0.25">
      <c r="A24" s="3"/>
      <c r="B24" s="16"/>
    </row>
    <row r="25" spans="1:2" s="7" customFormat="1" x14ac:dyDescent="0.25">
      <c r="A25" s="3"/>
      <c r="B25" s="16"/>
    </row>
    <row r="26" spans="1:2" s="7" customFormat="1" x14ac:dyDescent="0.25">
      <c r="A26" s="3"/>
      <c r="B26" s="16"/>
    </row>
    <row r="27" spans="1:2" s="7" customFormat="1" x14ac:dyDescent="0.25">
      <c r="A27" s="3"/>
      <c r="B27" s="16"/>
    </row>
    <row r="28" spans="1:2" s="7" customFormat="1" x14ac:dyDescent="0.25">
      <c r="A28" s="3"/>
      <c r="B28" s="16"/>
    </row>
    <row r="29" spans="1:2" s="7" customFormat="1" x14ac:dyDescent="0.25">
      <c r="A29" s="3"/>
      <c r="B29" s="16"/>
    </row>
    <row r="30" spans="1:2" s="7" customFormat="1" x14ac:dyDescent="0.25">
      <c r="A30" s="3"/>
      <c r="B30" s="16"/>
    </row>
    <row r="31" spans="1:2" s="7" customFormat="1" x14ac:dyDescent="0.25">
      <c r="A31" s="3"/>
      <c r="B31" s="16"/>
    </row>
    <row r="32" spans="1:2" s="7" customFormat="1" x14ac:dyDescent="0.25">
      <c r="A32" s="3"/>
      <c r="B32" s="16"/>
    </row>
    <row r="33" spans="1:2" s="7" customFormat="1" x14ac:dyDescent="0.25">
      <c r="A33" s="3"/>
      <c r="B33" s="16"/>
    </row>
    <row r="34" spans="1:2" s="7" customFormat="1" x14ac:dyDescent="0.25">
      <c r="A34" s="3"/>
      <c r="B34" s="16"/>
    </row>
    <row r="35" spans="1:2" s="7" customFormat="1" x14ac:dyDescent="0.25">
      <c r="A35" s="3"/>
      <c r="B35" s="16"/>
    </row>
    <row r="36" spans="1:2" s="7" customFormat="1" x14ac:dyDescent="0.25">
      <c r="A36" s="3"/>
      <c r="B36" s="16"/>
    </row>
    <row r="37" spans="1:2" s="7" customFormat="1" x14ac:dyDescent="0.25">
      <c r="A37" s="3"/>
      <c r="B37" s="16"/>
    </row>
    <row r="38" spans="1:2" s="7" customFormat="1" x14ac:dyDescent="0.25">
      <c r="A38" s="3"/>
      <c r="B38" s="16"/>
    </row>
    <row r="39" spans="1:2" s="7" customFormat="1" x14ac:dyDescent="0.25">
      <c r="A39" s="3"/>
      <c r="B39" s="16"/>
    </row>
    <row r="40" spans="1:2" s="7" customFormat="1" x14ac:dyDescent="0.25">
      <c r="A40" s="3"/>
      <c r="B40" s="16"/>
    </row>
    <row r="41" spans="1:2" s="7" customFormat="1" x14ac:dyDescent="0.25">
      <c r="A41" s="3"/>
      <c r="B41" s="16"/>
    </row>
    <row r="42" spans="1:2" s="7" customFormat="1" x14ac:dyDescent="0.25">
      <c r="A42" s="3"/>
      <c r="B42" s="16"/>
    </row>
    <row r="43" spans="1:2" s="7" customFormat="1" x14ac:dyDescent="0.25">
      <c r="A43" s="3"/>
      <c r="B43" s="16"/>
    </row>
    <row r="44" spans="1:2" s="7" customFormat="1" x14ac:dyDescent="0.25">
      <c r="A44" s="3"/>
      <c r="B44" s="16"/>
    </row>
    <row r="45" spans="1:2" s="7" customFormat="1" x14ac:dyDescent="0.25">
      <c r="A45" s="3"/>
      <c r="B45" s="16"/>
    </row>
    <row r="46" spans="1:2" s="7" customFormat="1" x14ac:dyDescent="0.25">
      <c r="A46" s="3"/>
      <c r="B46" s="16"/>
    </row>
    <row r="47" spans="1:2" s="7" customFormat="1" x14ac:dyDescent="0.25">
      <c r="A47" s="3"/>
      <c r="B47" s="16"/>
    </row>
    <row r="48" spans="1:2" s="7" customFormat="1" x14ac:dyDescent="0.25">
      <c r="A48" s="3"/>
      <c r="B48" s="16"/>
    </row>
    <row r="49" spans="1:2" s="7" customFormat="1" x14ac:dyDescent="0.25">
      <c r="A49" s="3"/>
      <c r="B49" s="16"/>
    </row>
    <row r="50" spans="1:2" s="7" customFormat="1" x14ac:dyDescent="0.25">
      <c r="A50" s="3"/>
      <c r="B50" s="16"/>
    </row>
    <row r="51" spans="1:2" s="7" customFormat="1" x14ac:dyDescent="0.25">
      <c r="A51" s="3"/>
      <c r="B51" s="16"/>
    </row>
    <row r="52" spans="1:2" s="7" customFormat="1" x14ac:dyDescent="0.25">
      <c r="A52" s="3"/>
      <c r="B52" s="16"/>
    </row>
    <row r="53" spans="1:2" s="7" customFormat="1" x14ac:dyDescent="0.25">
      <c r="A53" s="3"/>
      <c r="B53" s="16"/>
    </row>
    <row r="54" spans="1:2" s="7" customFormat="1" x14ac:dyDescent="0.25">
      <c r="A54" s="3"/>
      <c r="B54" s="16"/>
    </row>
    <row r="55" spans="1:2" s="7" customFormat="1" x14ac:dyDescent="0.25">
      <c r="A55" s="3"/>
      <c r="B55" s="16"/>
    </row>
    <row r="56" spans="1:2" s="7" customFormat="1" x14ac:dyDescent="0.25">
      <c r="A56" s="3"/>
      <c r="B56" s="16"/>
    </row>
    <row r="57" spans="1:2" s="7" customFormat="1" x14ac:dyDescent="0.25">
      <c r="A57" s="3"/>
      <c r="B57" s="16"/>
    </row>
    <row r="58" spans="1:2" s="7" customFormat="1" x14ac:dyDescent="0.25">
      <c r="A58" s="3"/>
      <c r="B58" s="16"/>
    </row>
    <row r="59" spans="1:2" s="7" customFormat="1" x14ac:dyDescent="0.25">
      <c r="A59" s="3"/>
      <c r="B59" s="16"/>
    </row>
    <row r="60" spans="1:2" s="7" customFormat="1" x14ac:dyDescent="0.25">
      <c r="A60" s="3"/>
      <c r="B60" s="16"/>
    </row>
    <row r="61" spans="1:2" s="7" customFormat="1" x14ac:dyDescent="0.25">
      <c r="A61" s="3"/>
      <c r="B61" s="16"/>
    </row>
    <row r="62" spans="1:2" s="7" customFormat="1" x14ac:dyDescent="0.25">
      <c r="A62" s="3"/>
      <c r="B62" s="16"/>
    </row>
    <row r="63" spans="1:2" s="7" customFormat="1" x14ac:dyDescent="0.25">
      <c r="A63" s="3"/>
      <c r="B63" s="16"/>
    </row>
    <row r="64" spans="1:2" s="7" customFormat="1" x14ac:dyDescent="0.25">
      <c r="A64" s="3"/>
      <c r="B64" s="16"/>
    </row>
    <row r="65" spans="1:2" s="7" customFormat="1" x14ac:dyDescent="0.25">
      <c r="A65" s="3"/>
      <c r="B65" s="16"/>
    </row>
    <row r="66" spans="1:2" s="7" customFormat="1" x14ac:dyDescent="0.25">
      <c r="A66" s="3"/>
      <c r="B66" s="16"/>
    </row>
    <row r="67" spans="1:2" s="7" customFormat="1" x14ac:dyDescent="0.25">
      <c r="A67" s="3"/>
      <c r="B67" s="16"/>
    </row>
    <row r="68" spans="1:2" s="7" customFormat="1" x14ac:dyDescent="0.25">
      <c r="A68" s="3"/>
      <c r="B68" s="16"/>
    </row>
    <row r="69" spans="1:2" s="7" customFormat="1" x14ac:dyDescent="0.25">
      <c r="A69" s="3"/>
      <c r="B69" s="16"/>
    </row>
    <row r="70" spans="1:2" s="7" customFormat="1" x14ac:dyDescent="0.25">
      <c r="A70" s="3"/>
      <c r="B70" s="16"/>
    </row>
    <row r="71" spans="1:2" s="7" customFormat="1" x14ac:dyDescent="0.25">
      <c r="A71" s="3"/>
      <c r="B71" s="16"/>
    </row>
    <row r="72" spans="1:2" s="7" customFormat="1" x14ac:dyDescent="0.25">
      <c r="A72" s="3"/>
      <c r="B72" s="16"/>
    </row>
    <row r="73" spans="1:2" s="7" customFormat="1" x14ac:dyDescent="0.25">
      <c r="A73" s="3"/>
      <c r="B73" s="16"/>
    </row>
    <row r="74" spans="1:2" s="7" customFormat="1" x14ac:dyDescent="0.25">
      <c r="A74" s="3"/>
      <c r="B74" s="16"/>
    </row>
    <row r="75" spans="1:2" s="7" customFormat="1" x14ac:dyDescent="0.25">
      <c r="A75" s="3"/>
      <c r="B75" s="16"/>
    </row>
    <row r="76" spans="1:2" s="7" customFormat="1" x14ac:dyDescent="0.25">
      <c r="A76" s="3"/>
      <c r="B76" s="16"/>
    </row>
    <row r="77" spans="1:2" s="7" customFormat="1" x14ac:dyDescent="0.25">
      <c r="A77" s="3"/>
      <c r="B77" s="16"/>
    </row>
    <row r="78" spans="1:2" s="7" customFormat="1" x14ac:dyDescent="0.25">
      <c r="A78" s="3"/>
      <c r="B78" s="16"/>
    </row>
    <row r="79" spans="1:2" s="7" customFormat="1" x14ac:dyDescent="0.25">
      <c r="A79" s="3"/>
      <c r="B79" s="16"/>
    </row>
    <row r="80" spans="1:2" s="7" customFormat="1" x14ac:dyDescent="0.25">
      <c r="A80" s="3"/>
      <c r="B80" s="16"/>
    </row>
    <row r="81" spans="1:2" s="7" customFormat="1" x14ac:dyDescent="0.25">
      <c r="A81" s="3"/>
      <c r="B81" s="16"/>
    </row>
    <row r="82" spans="1:2" s="7" customFormat="1" x14ac:dyDescent="0.25">
      <c r="A82" s="3"/>
      <c r="B82" s="16"/>
    </row>
    <row r="83" spans="1:2" s="7" customFormat="1" x14ac:dyDescent="0.25">
      <c r="A83" s="3"/>
      <c r="B83" s="16"/>
    </row>
    <row r="84" spans="1:2" s="7" customFormat="1" x14ac:dyDescent="0.25">
      <c r="A84" s="3"/>
      <c r="B84" s="16"/>
    </row>
    <row r="85" spans="1:2" s="7" customFormat="1" x14ac:dyDescent="0.25">
      <c r="A85" s="3"/>
      <c r="B85" s="16"/>
    </row>
    <row r="86" spans="1:2" s="7" customFormat="1" x14ac:dyDescent="0.25">
      <c r="A86" s="3"/>
      <c r="B86" s="16"/>
    </row>
    <row r="87" spans="1:2" s="7" customFormat="1" x14ac:dyDescent="0.25">
      <c r="A87" s="3"/>
      <c r="B87" s="16"/>
    </row>
    <row r="88" spans="1:2" s="7" customFormat="1" x14ac:dyDescent="0.25">
      <c r="A88" s="3"/>
      <c r="B88" s="16"/>
    </row>
    <row r="89" spans="1:2" s="7" customFormat="1" x14ac:dyDescent="0.25">
      <c r="A89" s="3"/>
      <c r="B89" s="16"/>
    </row>
    <row r="90" spans="1:2" s="7" customFormat="1" x14ac:dyDescent="0.25">
      <c r="A90" s="3"/>
      <c r="B90" s="16"/>
    </row>
    <row r="91" spans="1:2" s="7" customFormat="1" x14ac:dyDescent="0.25">
      <c r="A91" s="3"/>
      <c r="B91" s="16"/>
    </row>
    <row r="92" spans="1:2" s="7" customFormat="1" x14ac:dyDescent="0.25">
      <c r="A92" s="3"/>
      <c r="B92" s="16"/>
    </row>
    <row r="93" spans="1:2" s="7" customFormat="1" x14ac:dyDescent="0.25">
      <c r="A93" s="3"/>
      <c r="B93" s="16"/>
    </row>
    <row r="94" spans="1:2" s="7" customFormat="1" x14ac:dyDescent="0.25">
      <c r="A94" s="3"/>
      <c r="B94" s="16"/>
    </row>
    <row r="95" spans="1:2" s="7" customFormat="1" x14ac:dyDescent="0.25">
      <c r="A95" s="3"/>
      <c r="B95" s="16"/>
    </row>
    <row r="96" spans="1:2" s="7" customFormat="1" x14ac:dyDescent="0.25">
      <c r="A96" s="3"/>
      <c r="B96" s="16"/>
    </row>
    <row r="97" spans="1:2" s="7" customFormat="1" x14ac:dyDescent="0.25">
      <c r="A97" s="3"/>
      <c r="B97" s="16"/>
    </row>
    <row r="98" spans="1:2" s="7" customFormat="1" x14ac:dyDescent="0.25">
      <c r="A98" s="3"/>
      <c r="B98" s="16"/>
    </row>
    <row r="99" spans="1:2" s="7" customFormat="1" x14ac:dyDescent="0.25">
      <c r="A99" s="3"/>
      <c r="B99" s="16"/>
    </row>
    <row r="100" spans="1:2" s="7" customFormat="1" x14ac:dyDescent="0.25">
      <c r="A100" s="3"/>
      <c r="B100" s="16"/>
    </row>
    <row r="101" spans="1:2" s="7" customFormat="1" x14ac:dyDescent="0.25">
      <c r="A101" s="3"/>
      <c r="B101" s="16"/>
    </row>
    <row r="102" spans="1:2" s="7" customFormat="1" x14ac:dyDescent="0.25">
      <c r="A102" s="3"/>
      <c r="B102" s="16"/>
    </row>
    <row r="103" spans="1:2" s="7" customFormat="1" x14ac:dyDescent="0.25">
      <c r="A103" s="3"/>
      <c r="B103" s="16"/>
    </row>
    <row r="104" spans="1:2" s="7" customFormat="1" x14ac:dyDescent="0.25">
      <c r="A104" s="3"/>
      <c r="B104" s="16"/>
    </row>
    <row r="105" spans="1:2" s="7" customFormat="1" x14ac:dyDescent="0.25">
      <c r="A105" s="3"/>
      <c r="B105" s="16"/>
    </row>
    <row r="106" spans="1:2" s="7" customFormat="1" x14ac:dyDescent="0.25">
      <c r="A106" s="3"/>
      <c r="B106" s="16"/>
    </row>
    <row r="107" spans="1:2" s="7" customFormat="1" x14ac:dyDescent="0.25">
      <c r="A107" s="3"/>
      <c r="B107" s="16"/>
    </row>
    <row r="108" spans="1:2" s="7" customFormat="1" x14ac:dyDescent="0.25">
      <c r="A108" s="3"/>
      <c r="B108" s="16"/>
    </row>
    <row r="109" spans="1:2" s="7" customFormat="1" x14ac:dyDescent="0.25">
      <c r="A109" s="3"/>
      <c r="B109" s="16"/>
    </row>
    <row r="110" spans="1:2" s="7" customFormat="1" x14ac:dyDescent="0.25">
      <c r="A110" s="3"/>
      <c r="B110" s="16"/>
    </row>
    <row r="111" spans="1:2" s="7" customFormat="1" x14ac:dyDescent="0.25">
      <c r="A111" s="3"/>
      <c r="B111" s="16"/>
    </row>
    <row r="112" spans="1:2" s="7" customFormat="1" x14ac:dyDescent="0.25">
      <c r="A112" s="3"/>
      <c r="B112" s="16"/>
    </row>
    <row r="113" spans="1:2" s="7" customFormat="1" x14ac:dyDescent="0.25">
      <c r="A113" s="3"/>
      <c r="B113" s="16"/>
    </row>
    <row r="114" spans="1:2" s="7" customFormat="1" x14ac:dyDescent="0.25">
      <c r="A114" s="3"/>
      <c r="B114" s="16"/>
    </row>
    <row r="115" spans="1:2" s="7" customFormat="1" x14ac:dyDescent="0.25">
      <c r="A115" s="3"/>
      <c r="B115" s="16"/>
    </row>
    <row r="116" spans="1:2" s="7" customFormat="1" x14ac:dyDescent="0.25">
      <c r="A116" s="3"/>
      <c r="B116" s="16"/>
    </row>
    <row r="117" spans="1:2" s="7" customFormat="1" x14ac:dyDescent="0.25">
      <c r="A117" s="3"/>
      <c r="B117" s="16"/>
    </row>
    <row r="118" spans="1:2" s="7" customFormat="1" x14ac:dyDescent="0.25">
      <c r="A118" s="3"/>
      <c r="B118" s="16"/>
    </row>
    <row r="119" spans="1:2" s="7" customFormat="1" x14ac:dyDescent="0.25">
      <c r="A119" s="3"/>
      <c r="B119" s="16"/>
    </row>
    <row r="120" spans="1:2" s="7" customFormat="1" x14ac:dyDescent="0.25">
      <c r="A120" s="3"/>
      <c r="B120" s="16"/>
    </row>
    <row r="121" spans="1:2" s="7" customFormat="1" x14ac:dyDescent="0.25">
      <c r="A121" s="3"/>
      <c r="B121" s="16"/>
    </row>
    <row r="122" spans="1:2" s="7" customFormat="1" x14ac:dyDescent="0.25">
      <c r="A122" s="3"/>
      <c r="B122" s="16"/>
    </row>
    <row r="123" spans="1:2" s="7" customFormat="1" x14ac:dyDescent="0.25">
      <c r="A123" s="3"/>
      <c r="B123" s="16"/>
    </row>
    <row r="124" spans="1:2" s="7" customFormat="1" x14ac:dyDescent="0.25">
      <c r="A124" s="3"/>
      <c r="B124" s="16"/>
    </row>
    <row r="125" spans="1:2" s="7" customFormat="1" x14ac:dyDescent="0.25">
      <c r="A125" s="3"/>
      <c r="B125" s="16"/>
    </row>
    <row r="126" spans="1:2" s="7" customFormat="1" x14ac:dyDescent="0.25">
      <c r="A126" s="3"/>
      <c r="B126" s="16"/>
    </row>
    <row r="127" spans="1:2" s="7" customFormat="1" x14ac:dyDescent="0.25">
      <c r="A127" s="3"/>
      <c r="B127" s="16"/>
    </row>
    <row r="128" spans="1:2" s="7" customFormat="1" x14ac:dyDescent="0.25">
      <c r="A128" s="3"/>
      <c r="B128" s="16"/>
    </row>
    <row r="129" spans="1:2" s="7" customFormat="1" x14ac:dyDescent="0.25">
      <c r="A129" s="3"/>
      <c r="B129" s="16"/>
    </row>
    <row r="130" spans="1:2" s="7" customFormat="1" x14ac:dyDescent="0.25">
      <c r="A130" s="3"/>
      <c r="B130" s="16"/>
    </row>
    <row r="131" spans="1:2" s="7" customFormat="1" x14ac:dyDescent="0.25">
      <c r="A131" s="3"/>
      <c r="B131" s="16"/>
    </row>
    <row r="132" spans="1:2" s="7" customFormat="1" x14ac:dyDescent="0.25">
      <c r="A132" s="3"/>
      <c r="B132" s="16"/>
    </row>
    <row r="133" spans="1:2" s="7" customFormat="1" x14ac:dyDescent="0.25">
      <c r="A133" s="3"/>
      <c r="B133" s="16"/>
    </row>
    <row r="134" spans="1:2" s="7" customFormat="1" x14ac:dyDescent="0.25">
      <c r="A134" s="3"/>
      <c r="B134" s="16"/>
    </row>
    <row r="135" spans="1:2" s="7" customFormat="1" x14ac:dyDescent="0.25">
      <c r="A135" s="3"/>
      <c r="B135" s="16"/>
    </row>
    <row r="136" spans="1:2" s="7" customFormat="1" x14ac:dyDescent="0.25">
      <c r="A136" s="3"/>
      <c r="B136" s="16"/>
    </row>
    <row r="137" spans="1:2" s="7" customFormat="1" x14ac:dyDescent="0.25">
      <c r="A137" s="3"/>
      <c r="B137" s="16"/>
    </row>
    <row r="138" spans="1:2" s="7" customFormat="1" x14ac:dyDescent="0.25">
      <c r="A138" s="3"/>
      <c r="B138" s="16"/>
    </row>
    <row r="139" spans="1:2" s="7" customFormat="1" x14ac:dyDescent="0.25">
      <c r="A139" s="3"/>
      <c r="B139" s="16"/>
    </row>
    <row r="140" spans="1:2" s="7" customFormat="1" x14ac:dyDescent="0.25">
      <c r="A140" s="3"/>
      <c r="B140" s="16"/>
    </row>
    <row r="141" spans="1:2" s="7" customFormat="1" x14ac:dyDescent="0.25">
      <c r="A141" s="3"/>
      <c r="B141" s="16"/>
    </row>
    <row r="142" spans="1:2" s="7" customFormat="1" x14ac:dyDescent="0.25">
      <c r="A142" s="3"/>
      <c r="B142" s="16"/>
    </row>
    <row r="143" spans="1:2" s="7" customFormat="1" x14ac:dyDescent="0.25">
      <c r="A143" s="3"/>
      <c r="B143" s="16"/>
    </row>
    <row r="144" spans="1:2" s="7" customFormat="1" x14ac:dyDescent="0.25">
      <c r="A144" s="3"/>
      <c r="B144" s="16"/>
    </row>
    <row r="145" spans="1:2" s="7" customFormat="1" x14ac:dyDescent="0.25">
      <c r="A145" s="3"/>
      <c r="B145" s="16"/>
    </row>
    <row r="146" spans="1:2" s="7" customFormat="1" x14ac:dyDescent="0.25">
      <c r="A146" s="3"/>
      <c r="B146" s="16"/>
    </row>
    <row r="147" spans="1:2" s="7" customFormat="1" x14ac:dyDescent="0.25">
      <c r="A147" s="3"/>
      <c r="B147" s="16"/>
    </row>
    <row r="148" spans="1:2" s="7" customFormat="1" x14ac:dyDescent="0.25">
      <c r="A148" s="3"/>
      <c r="B148" s="16"/>
    </row>
    <row r="149" spans="1:2" s="7" customFormat="1" x14ac:dyDescent="0.25">
      <c r="A149" s="3"/>
      <c r="B149" s="16"/>
    </row>
    <row r="150" spans="1:2" s="7" customFormat="1" x14ac:dyDescent="0.25">
      <c r="A150" s="3"/>
      <c r="B150" s="16"/>
    </row>
    <row r="151" spans="1:2" s="7" customFormat="1" x14ac:dyDescent="0.25">
      <c r="A151" s="3"/>
      <c r="B151" s="16"/>
    </row>
    <row r="152" spans="1:2" s="7" customFormat="1" x14ac:dyDescent="0.25">
      <c r="A152" s="3"/>
      <c r="B152" s="16"/>
    </row>
    <row r="153" spans="1:2" s="7" customFormat="1" x14ac:dyDescent="0.25">
      <c r="A153" s="3"/>
      <c r="B153" s="16"/>
    </row>
    <row r="154" spans="1:2" s="7" customFormat="1" x14ac:dyDescent="0.25">
      <c r="A154" s="3"/>
      <c r="B154" s="16"/>
    </row>
    <row r="155" spans="1:2" s="7" customFormat="1" x14ac:dyDescent="0.25">
      <c r="A155" s="3"/>
      <c r="B155" s="16"/>
    </row>
    <row r="156" spans="1:2" s="7" customFormat="1" x14ac:dyDescent="0.25">
      <c r="A156" s="3"/>
      <c r="B156" s="16"/>
    </row>
    <row r="157" spans="1:2" s="7" customFormat="1" x14ac:dyDescent="0.25">
      <c r="A157" s="3"/>
      <c r="B157" s="16"/>
    </row>
    <row r="158" spans="1:2" s="7" customFormat="1" x14ac:dyDescent="0.25">
      <c r="A158" s="3"/>
      <c r="B158" s="16"/>
    </row>
    <row r="159" spans="1:2" s="7" customFormat="1" x14ac:dyDescent="0.25">
      <c r="A159" s="3"/>
      <c r="B159" s="16"/>
    </row>
    <row r="160" spans="1:2" s="7" customFormat="1" x14ac:dyDescent="0.25">
      <c r="A160" s="3"/>
      <c r="B160" s="16"/>
    </row>
    <row r="161" spans="1:2" s="7" customFormat="1" x14ac:dyDescent="0.25">
      <c r="A161" s="3"/>
      <c r="B161" s="16"/>
    </row>
    <row r="162" spans="1:2" s="7" customFormat="1" x14ac:dyDescent="0.25">
      <c r="A162" s="3"/>
      <c r="B162" s="16"/>
    </row>
    <row r="163" spans="1:2" s="7" customFormat="1" x14ac:dyDescent="0.25">
      <c r="A163" s="3"/>
      <c r="B163" s="16"/>
    </row>
    <row r="164" spans="1:2" s="7" customFormat="1" x14ac:dyDescent="0.25">
      <c r="A164" s="3"/>
      <c r="B164" s="16"/>
    </row>
    <row r="165" spans="1:2" s="7" customFormat="1" x14ac:dyDescent="0.25">
      <c r="A165" s="3"/>
      <c r="B165" s="16"/>
    </row>
    <row r="166" spans="1:2" s="7" customFormat="1" x14ac:dyDescent="0.25">
      <c r="A166" s="3"/>
      <c r="B166" s="16"/>
    </row>
    <row r="167" spans="1:2" s="7" customFormat="1" x14ac:dyDescent="0.25">
      <c r="A167" s="3"/>
      <c r="B167" s="16"/>
    </row>
    <row r="168" spans="1:2" s="7" customFormat="1" x14ac:dyDescent="0.25">
      <c r="A168" s="3"/>
      <c r="B168" s="16"/>
    </row>
    <row r="169" spans="1:2" s="7" customFormat="1" x14ac:dyDescent="0.25">
      <c r="A169" s="3"/>
      <c r="B169" s="16"/>
    </row>
    <row r="170" spans="1:2" s="7" customFormat="1" x14ac:dyDescent="0.25">
      <c r="A170" s="3"/>
      <c r="B170" s="16"/>
    </row>
    <row r="171" spans="1:2" s="7" customFormat="1" x14ac:dyDescent="0.25">
      <c r="A171" s="3"/>
      <c r="B171" s="16"/>
    </row>
    <row r="172" spans="1:2" s="7" customFormat="1" x14ac:dyDescent="0.25">
      <c r="A172" s="3"/>
      <c r="B172" s="16"/>
    </row>
    <row r="173" spans="1:2" s="7" customFormat="1" x14ac:dyDescent="0.25">
      <c r="A173" s="3"/>
      <c r="B173" s="16"/>
    </row>
    <row r="174" spans="1:2" s="7" customFormat="1" x14ac:dyDescent="0.25">
      <c r="A174" s="3"/>
      <c r="B174" s="16"/>
    </row>
    <row r="175" spans="1:2" s="7" customFormat="1" x14ac:dyDescent="0.25">
      <c r="A175" s="3"/>
      <c r="B175" s="16"/>
    </row>
    <row r="176" spans="1:2" s="7" customFormat="1" x14ac:dyDescent="0.25">
      <c r="A176" s="3"/>
      <c r="B176" s="16"/>
    </row>
    <row r="177" spans="1:2" s="7" customFormat="1" x14ac:dyDescent="0.25">
      <c r="A177" s="3"/>
      <c r="B177" s="16"/>
    </row>
    <row r="178" spans="1:2" s="7" customFormat="1" x14ac:dyDescent="0.25">
      <c r="A178" s="3"/>
      <c r="B178" s="16"/>
    </row>
    <row r="179" spans="1:2" s="7" customFormat="1" x14ac:dyDescent="0.25">
      <c r="A179" s="3"/>
      <c r="B179" s="16"/>
    </row>
    <row r="180" spans="1:2" s="7" customFormat="1" x14ac:dyDescent="0.25">
      <c r="A180" s="3"/>
      <c r="B180" s="16"/>
    </row>
    <row r="181" spans="1:2" s="7" customFormat="1" x14ac:dyDescent="0.25">
      <c r="A181" s="3"/>
      <c r="B181" s="16"/>
    </row>
    <row r="182" spans="1:2" s="7" customFormat="1" x14ac:dyDescent="0.25">
      <c r="A182" s="3"/>
      <c r="B182" s="16"/>
    </row>
    <row r="183" spans="1:2" s="7" customFormat="1" x14ac:dyDescent="0.25">
      <c r="A183" s="3"/>
      <c r="B183" s="16"/>
    </row>
    <row r="184" spans="1:2" s="7" customFormat="1" x14ac:dyDescent="0.25">
      <c r="A184" s="3"/>
      <c r="B184" s="16"/>
    </row>
    <row r="185" spans="1:2" s="7" customFormat="1" x14ac:dyDescent="0.25">
      <c r="A185" s="3"/>
      <c r="B185" s="16"/>
    </row>
    <row r="186" spans="1:2" s="7" customFormat="1" x14ac:dyDescent="0.25">
      <c r="A186" s="3"/>
      <c r="B186" s="16"/>
    </row>
    <row r="187" spans="1:2" s="7" customFormat="1" x14ac:dyDescent="0.25">
      <c r="A187" s="3"/>
      <c r="B187" s="16"/>
    </row>
    <row r="188" spans="1:2" s="7" customFormat="1" x14ac:dyDescent="0.25">
      <c r="A188" s="3"/>
      <c r="B188" s="16"/>
    </row>
    <row r="189" spans="1:2" s="7" customFormat="1" x14ac:dyDescent="0.25">
      <c r="A189" s="3"/>
      <c r="B189" s="16"/>
    </row>
    <row r="190" spans="1:2" s="7" customFormat="1" x14ac:dyDescent="0.25">
      <c r="A190" s="3"/>
      <c r="B190" s="16"/>
    </row>
    <row r="191" spans="1:2" s="7" customFormat="1" x14ac:dyDescent="0.25">
      <c r="A191" s="3"/>
      <c r="B191" s="16"/>
    </row>
    <row r="192" spans="1:2" s="7" customFormat="1" x14ac:dyDescent="0.25">
      <c r="A192" s="3"/>
      <c r="B192" s="16"/>
    </row>
    <row r="193" spans="1:2" s="7" customFormat="1" x14ac:dyDescent="0.25">
      <c r="A193" s="3"/>
      <c r="B193" s="16"/>
    </row>
    <row r="194" spans="1:2" s="7" customFormat="1" x14ac:dyDescent="0.25">
      <c r="A194" s="3"/>
      <c r="B194" s="16"/>
    </row>
    <row r="195" spans="1:2" s="7" customFormat="1" x14ac:dyDescent="0.25">
      <c r="A195" s="3"/>
      <c r="B195" s="16"/>
    </row>
    <row r="196" spans="1:2" s="7" customFormat="1" x14ac:dyDescent="0.25">
      <c r="A196" s="3"/>
      <c r="B196" s="16"/>
    </row>
    <row r="197" spans="1:2" s="7" customFormat="1" x14ac:dyDescent="0.25">
      <c r="A197" s="3"/>
      <c r="B197" s="16"/>
    </row>
    <row r="198" spans="1:2" s="7" customFormat="1" x14ac:dyDescent="0.25">
      <c r="A198" s="3"/>
      <c r="B198" s="16"/>
    </row>
    <row r="199" spans="1:2" s="7" customFormat="1" x14ac:dyDescent="0.25">
      <c r="A199" s="3"/>
      <c r="B199" s="16"/>
    </row>
    <row r="200" spans="1:2" s="7" customFormat="1" x14ac:dyDescent="0.25">
      <c r="A200" s="3"/>
      <c r="B200" s="16"/>
    </row>
    <row r="201" spans="1:2" s="7" customFormat="1" x14ac:dyDescent="0.25">
      <c r="A201" s="3"/>
      <c r="B201" s="16"/>
    </row>
    <row r="202" spans="1:2" s="7" customFormat="1" x14ac:dyDescent="0.25">
      <c r="A202" s="3"/>
      <c r="B202" s="16"/>
    </row>
    <row r="203" spans="1:2" s="7" customFormat="1" x14ac:dyDescent="0.25">
      <c r="A203" s="3"/>
      <c r="B203" s="16"/>
    </row>
    <row r="204" spans="1:2" s="7" customFormat="1" x14ac:dyDescent="0.25">
      <c r="A204" s="3"/>
      <c r="B204" s="16"/>
    </row>
    <row r="205" spans="1:2" s="7" customFormat="1" x14ac:dyDescent="0.25">
      <c r="A205" s="3"/>
      <c r="B205" s="16"/>
    </row>
    <row r="206" spans="1:2" s="7" customFormat="1" x14ac:dyDescent="0.25">
      <c r="A206" s="3"/>
      <c r="B206" s="16"/>
    </row>
    <row r="207" spans="1:2" s="7" customFormat="1" x14ac:dyDescent="0.25">
      <c r="A207" s="3"/>
      <c r="B207" s="16"/>
    </row>
    <row r="208" spans="1:2" s="7" customFormat="1" x14ac:dyDescent="0.25">
      <c r="A208" s="3"/>
      <c r="B208" s="16"/>
    </row>
    <row r="209" spans="1:2" s="7" customFormat="1" x14ac:dyDescent="0.25">
      <c r="A209" s="3"/>
      <c r="B209" s="16"/>
    </row>
    <row r="210" spans="1:2" s="7" customFormat="1" x14ac:dyDescent="0.25">
      <c r="A210" s="3"/>
      <c r="B210" s="16"/>
    </row>
    <row r="211" spans="1:2" s="7" customFormat="1" x14ac:dyDescent="0.25">
      <c r="A211" s="3"/>
      <c r="B211" s="16"/>
    </row>
    <row r="212" spans="1:2" s="7" customFormat="1" x14ac:dyDescent="0.25">
      <c r="A212" s="3"/>
      <c r="B212" s="16"/>
    </row>
    <row r="213" spans="1:2" s="7" customFormat="1" x14ac:dyDescent="0.25">
      <c r="A213" s="3"/>
      <c r="B213" s="16"/>
    </row>
    <row r="214" spans="1:2" s="7" customFormat="1" x14ac:dyDescent="0.25">
      <c r="A214" s="3"/>
      <c r="B214" s="16"/>
    </row>
    <row r="215" spans="1:2" s="7" customFormat="1" x14ac:dyDescent="0.25">
      <c r="A215" s="3"/>
      <c r="B215" s="16"/>
    </row>
    <row r="216" spans="1:2" s="7" customFormat="1" x14ac:dyDescent="0.25">
      <c r="A216" s="3"/>
      <c r="B216" s="16"/>
    </row>
    <row r="217" spans="1:2" s="7" customFormat="1" x14ac:dyDescent="0.25">
      <c r="A217" s="3"/>
      <c r="B217" s="16"/>
    </row>
    <row r="218" spans="1:2" s="7" customFormat="1" x14ac:dyDescent="0.25">
      <c r="A218" s="3"/>
      <c r="B218" s="16"/>
    </row>
    <row r="219" spans="1:2" s="7" customFormat="1" x14ac:dyDescent="0.25">
      <c r="A219" s="3"/>
      <c r="B219" s="16"/>
    </row>
    <row r="220" spans="1:2" s="7" customFormat="1" x14ac:dyDescent="0.25">
      <c r="A220" s="3"/>
      <c r="B220" s="16"/>
    </row>
    <row r="221" spans="1:2" s="7" customFormat="1" x14ac:dyDescent="0.25">
      <c r="A221" s="3"/>
      <c r="B221" s="16"/>
    </row>
    <row r="222" spans="1:2" s="7" customFormat="1" x14ac:dyDescent="0.25">
      <c r="A222" s="3"/>
      <c r="B222" s="16"/>
    </row>
    <row r="223" spans="1:2" s="7" customFormat="1" x14ac:dyDescent="0.25">
      <c r="A223" s="3"/>
      <c r="B223" s="16"/>
    </row>
    <row r="224" spans="1:2" s="7" customFormat="1" x14ac:dyDescent="0.25">
      <c r="A224" s="3"/>
      <c r="B224" s="16"/>
    </row>
    <row r="225" spans="1:2" s="7" customFormat="1" x14ac:dyDescent="0.25">
      <c r="A225" s="3"/>
      <c r="B225" s="16"/>
    </row>
    <row r="226" spans="1:2" s="7" customFormat="1" x14ac:dyDescent="0.25">
      <c r="A226" s="3"/>
      <c r="B226" s="16"/>
    </row>
    <row r="227" spans="1:2" s="7" customFormat="1" x14ac:dyDescent="0.25">
      <c r="A227" s="3"/>
      <c r="B227" s="16"/>
    </row>
    <row r="228" spans="1:2" s="7" customFormat="1" x14ac:dyDescent="0.25">
      <c r="A228" s="3"/>
      <c r="B228" s="16"/>
    </row>
    <row r="229" spans="1:2" s="7" customFormat="1" x14ac:dyDescent="0.25">
      <c r="A229" s="3"/>
      <c r="B229" s="16"/>
    </row>
    <row r="230" spans="1:2" s="7" customFormat="1" x14ac:dyDescent="0.25">
      <c r="A230" s="3"/>
      <c r="B230" s="16"/>
    </row>
    <row r="231" spans="1:2" s="7" customFormat="1" x14ac:dyDescent="0.25">
      <c r="A231" s="3"/>
      <c r="B231" s="16"/>
    </row>
    <row r="232" spans="1:2" s="7" customFormat="1" x14ac:dyDescent="0.25">
      <c r="A232" s="3"/>
      <c r="B232" s="16"/>
    </row>
    <row r="233" spans="1:2" s="7" customFormat="1" x14ac:dyDescent="0.25">
      <c r="A233" s="3"/>
      <c r="B233" s="16"/>
    </row>
    <row r="234" spans="1:2" s="7" customFormat="1" x14ac:dyDescent="0.25">
      <c r="A234" s="3"/>
      <c r="B234" s="16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thalikster@gmail.com</cp:lastModifiedBy>
  <cp:revision/>
  <dcterms:created xsi:type="dcterms:W3CDTF">2024-12-19T13:13:10Z</dcterms:created>
  <dcterms:modified xsi:type="dcterms:W3CDTF">2026-01-21T01:57:38Z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